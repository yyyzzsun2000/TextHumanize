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2 Research (Fit 1-5)" sheetId="2" state="visible" r:id="rId4"/>
    <sheet name="R2 Research - Other Fields (0)" sheetId="3" state="visible" r:id="rId5"/>
    <sheet name="Closed or Not Current" sheetId="4" state="visible" r:id="rId6"/>
    <sheet name="R2 School Coverage" sheetId="5" state="visible" r:id="rId7"/>
  </sheets>
  <definedNames>
    <definedName function="false" hidden="true" localSheetId="3" name="_xlnm._FilterDatabase" vbProcedure="false">'Closed or Not Current'!$A$1:$AH$5</definedName>
    <definedName function="false" hidden="true" localSheetId="2" name="_xlnm._FilterDatabase" vbProcedure="false">'R2 Research - Other Fields (0)'!$A$1:$AH$47</definedName>
    <definedName function="false" hidden="true" localSheetId="1" name="_xlnm._FilterDatabase" vbProcedure="false">'R2 Research (Fit 1-5)'!$A$1:$AH$51</definedName>
    <definedName function="false" hidden="true" localSheetId="4" name="_xlnm._FilterDatabase" vbProcedure="false">'R2 School Coverage'!$A$1:$G$138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<sst xmlns="http://schemas.openxmlformats.org/spreadsheetml/2006/main" count="3795" uniqueCount="1342">
  <si>
    <t xml:space="preserve">R2 Research Positions - All Fit Levels (prepared 2026-10-15)</t>
  </si>
  <si>
    <t xml:space="preserve">Every research (tenure-track / tenured) faculty position I found at an R2 university, at every fit level. It combines earlier search rounds with a new Oct 15 search of every R2 business school that had no research position in my earlier results.</t>
  </si>
  <si>
    <t xml:space="preserve">Summary (live formulas)</t>
  </si>
  <si>
    <t xml:space="preserve">Research positions, fit 1-5</t>
  </si>
  <si>
    <t xml:space="preserve">  Fit 5</t>
  </si>
  <si>
    <t xml:space="preserve">  Fit 4</t>
  </si>
  <si>
    <t xml:space="preserve">  Fit 3</t>
  </si>
  <si>
    <t xml:space="preserve">  Fit 2</t>
  </si>
  <si>
    <t xml:space="preserve">  Fit 1</t>
  </si>
  <si>
    <t xml:space="preserve">Research positions in other fields (fit 0)</t>
  </si>
  <si>
    <t xml:space="preserve">Checked and found closed / prior cycle</t>
  </si>
  <si>
    <t xml:space="preserve">Already submitted (fit 1-5)</t>
  </si>
  <si>
    <t xml:space="preserve">URGENT by Oct 18 (fit 1-5)</t>
  </si>
  <si>
    <t xml:space="preserve">Not eligible (fit 1-5)</t>
  </si>
  <si>
    <t xml:space="preserve">Sponsorship / industry not yet checked (fit 1-5)</t>
  </si>
  <si>
    <t xml:space="preserve">R2 universities in your list</t>
  </si>
  <si>
    <t xml:space="preserve">  with a business school</t>
  </si>
  <si>
    <t xml:space="preserve">  with at least one research position (fit 1-5)</t>
  </si>
  <si>
    <t xml:space="preserve">  searched again on Oct 15 (round 3)</t>
  </si>
  <si>
    <t xml:space="preserve">How to read this workbook</t>
  </si>
  <si>
    <t xml:space="preserve">Sheet "R2 Research (Fit 1-5)"</t>
  </si>
  <si>
    <t xml:space="preserve">All R2 research positions with fit 1-5, sorted by fit (5 first), then urgency. Same columns as Final_Combined_Applications_Fit4-5.xlsx.</t>
  </si>
  <si>
    <t xml:space="preserve">Sheet "R2 Research - Other Fields (0)"</t>
  </si>
  <si>
    <t xml:space="preserve">R2 research positions in business fields outside your profile (accounting, finance, marketing, management/strategy). Listed for completeness only.</t>
  </si>
  <si>
    <t xml:space="preserve">Sheet "Closed or Not Current"</t>
  </si>
  <si>
    <t xml:space="preserve">R2 research postings that turned up in a search but that the confirmation search showed to be closed or from a prior hiring cycle (e.g. a 2025 or 2026 start). Kept here so you know they were checked.</t>
  </si>
  <si>
    <t xml:space="preserve">Sheet "R2 School Coverage"</t>
  </si>
  <si>
    <t xml:space="preserve">All 137 R2 universities: whether they have a business school, how many research positions I found, and the search status.</t>
  </si>
  <si>
    <t xml:space="preserve">Fit score</t>
  </si>
  <si>
    <t xml:space="preserve">5 = IS/MIS/ITM/CIS/BIT in a business school; 4 = business analytics / AI analytics, combined IS-operations, Accounting &amp; IS; 3 = iSchools / data-science / HCI units, OM teaching; 2 = OM / SCM / marketing analytics; 1 = weak link; 0 = other business fields.</t>
  </si>
  <si>
    <t xml:space="preserve">Eligible for You?</t>
  </si>
  <si>
    <t xml:space="preserve">NOT CHECKED YET = sponsorship and industry-experience wording not yet verified for this row. Other labels as in the final workbook: YES - sponsorship stated / YES via OPT only / LIKELY (not stated, ask HR) / NO (industry experience, citizenship or clearance required).</t>
  </si>
  <si>
    <t xml:space="preserve">Start vs Your PhD (June 2027)</t>
  </si>
  <si>
    <t xml:space="preserve">A Fall 2027 or later start can be covered by post-completion OPT; anything earlier needs CPT or pre-completion OPT from your DSO.</t>
  </si>
  <si>
    <t xml:space="preserve">Found By</t>
  </si>
  <si>
    <t xml:space="preserve">first search / second search = earlier rounds (Oct 13-14). round 3 (Oct 15) = new school-specific search of each R2 school that had no research position; round 3 board sweep = job-board-only search (2 schools per search); round 3 IS sweep = IS / analytics-focused job-board search (4 schools per search).</t>
  </si>
  <si>
    <t xml:space="preserve">How the Oct 15 search worked</t>
  </si>
  <si>
    <t xml:space="preserve">Each of the 74 R2 universities with a business school but no research position in my earlier results got three independent searches: (1) one school-specific open-web search, (2) one job-board-only search shared with one other school, (3) one IS / analytics-focused job-board search shared with three other schools. New fit 1-5 finds then got a confirmation search for open status, deadline, visa sponsorship and industry-experience wording. Existing fit 1-3 rows that had not been checked were also checked.</t>
  </si>
  <si>
    <t xml:space="preserve">Caveat</t>
  </si>
  <si>
    <t xml:space="preserve">WebFetch was blocked in this environment, so all details come from search-engine snippets of the postings. Confirm on the live posting before applying.</t>
  </si>
  <si>
    <t xml:space="preserve">Action / Priority</t>
  </si>
  <si>
    <t xml:space="preserve">Fit (0-5)</t>
  </si>
  <si>
    <t xml:space="preserve">Position Type</t>
  </si>
  <si>
    <t xml:space="preserve">Tenure?</t>
  </si>
  <si>
    <t xml:space="preserve">University</t>
  </si>
  <si>
    <t xml:space="preserve">Position Title</t>
  </si>
  <si>
    <t xml:space="preserve">Key Date</t>
  </si>
  <si>
    <t xml:space="preserve">Key Date Type</t>
  </si>
  <si>
    <t xml:space="preserve">Deadline (as posted)</t>
  </si>
  <si>
    <t xml:space="preserve">Eligible for You? (intl, no industry exp.)</t>
  </si>
  <si>
    <t xml:space="preserve">Visa Sponsorship</t>
  </si>
  <si>
    <t xml:space="preserve">Industry Experience</t>
  </si>
  <si>
    <t xml:space="preserve">Your Application Status</t>
  </si>
  <si>
    <t xml:space="preserve">Posting URL</t>
  </si>
  <si>
    <t xml:space="preserve">Still Open?</t>
  </si>
  <si>
    <t xml:space="preserve">Department</t>
  </si>
  <si>
    <t xml:space="preserve">College / School</t>
  </si>
  <si>
    <t xml:space="preserve">Rank</t>
  </si>
  <si>
    <t xml:space="preserve">R1/R2</t>
  </si>
  <si>
    <t xml:space="preserve">State</t>
  </si>
  <si>
    <t xml:space="preserve">Unit</t>
  </si>
  <si>
    <t xml:space="preserve">Deadline / Review Details</t>
  </si>
  <si>
    <t xml:space="preserve">Start Date</t>
  </si>
  <si>
    <t xml:space="preserve">Sponsorship Evidence</t>
  </si>
  <si>
    <t xml:space="preserve">Work Authorization Rule</t>
  </si>
  <si>
    <t xml:space="preserve">OPT Path</t>
  </si>
  <si>
    <t xml:space="preserve">Industry Experience Detail</t>
  </si>
  <si>
    <t xml:space="preserve">Other Requirements</t>
  </si>
  <si>
    <t xml:space="preserve">Why It Fits Your CV</t>
  </si>
  <si>
    <t xml:space="preserve">Link Type</t>
  </si>
  <si>
    <t xml:space="preserve">Other URLs</t>
  </si>
  <si>
    <t xml:space="preserve">Checker Note</t>
  </si>
  <si>
    <t xml:space="preserve">DONE - submitted</t>
  </si>
  <si>
    <t xml:space="preserve">Research tenure-track</t>
  </si>
  <si>
    <t xml:space="preserve">Tenure-track</t>
  </si>
  <si>
    <t xml:space="preserve">California State University, Long Beach</t>
  </si>
  <si>
    <t xml:space="preserve">Assistant Professor of Information Systems (2 Open Positions)</t>
  </si>
  <si>
    <t xml:space="preserve">open until filled; review/priority date</t>
  </si>
  <si>
    <t xml:space="preserve">Open until filled</t>
  </si>
  <si>
    <t xml:space="preserve">Submitted (eligibility not re-checked)</t>
  </si>
  <si>
    <t xml:space="preserve">Not re-checked (already submitted)</t>
  </si>
  <si>
    <t xml:space="preserve">-</t>
  </si>
  <si>
    <t xml:space="preserve">SUBMITTED 2026-08-29 (your tracker: "California State University, Long Beach")</t>
  </si>
  <si>
    <t xml:space="preserve">https://csucareers.calstate.edu/en-us/job/559681/assistant-professor-of-information-systems-2-open-positions</t>
  </si>
  <si>
    <t xml:space="preserve">n/a (already submitted)</t>
  </si>
  <si>
    <t xml:space="preserve">Department of Information Systems</t>
  </si>
  <si>
    <t xml:space="preserve">College of Business</t>
  </si>
  <si>
    <t xml:space="preserve">Assistant Professor (tenure-track)</t>
  </si>
  <si>
    <t xml:space="preserve">R2</t>
  </si>
  <si>
    <t xml:space="preserve">CA</t>
  </si>
  <si>
    <t xml:space="preserve">Business school</t>
  </si>
  <si>
    <t xml:space="preserve">Review of applications began 2026-08-17, a date that has now passed. The position remains open until filled or the recruitment is canceled. Questions go to search chair Dr. Fisher Wu (cba-is-jobs@csulb.edu, 562-985-4993). Apply promptly: review has been under way for about 2 months.</t>
  </si>
  <si>
    <t xml:space="preserve">2027-08-17 (Fall 2027 semester)</t>
  </si>
  <si>
    <t xml:space="preserve">Accept on OPT / STEM OPT; ask HR whether they file H-1B (most public universities do for tenure-track faculty).</t>
  </si>
  <si>
    <t xml:space="preserve">Two tenure-track lines in the business college's IS department, with a possible AI and cybersecurity emphasis. Fit: ML/LLM methods, platform governance and misinformation research, cloud/IoT teaching. Fall 2027 start fits.</t>
  </si>
  <si>
    <t xml:space="preserve">Official posting page</t>
  </si>
  <si>
    <t xml:space="preserve">https://csucareers.calstate.edu/mob/cw/en-us/job/559681/assistant-professor-of-information-systems-2-open-positions; https://careers.pageuppeople.com/873/lb/en-us/job/559681/assistant-professor-of-information-systems-2-open-positions; https://jobs.chronicle.com/job/38014134/assistant-professor-of-information-systems-2-open-positions-/; https://careercenter.informs.org/job/assistant-professor-of-information-systems-long-beach-california-5443; https://www.csulb.edu/academic-affairs/faculty-affairs/careers-college-of-business; https://www.careersingovernment.com/job/2032742/assistant-professor-of-information-systems-2-open-positions/</t>
  </si>
  <si>
    <t xml:space="preserve">Re-checked 2026-10-14 with one extended search. The official CSU Careers pages for job 559681 (desktop and mobile) and the CSULB COB careers page were still returned. They confirm the Fall 2027 (2027-08-17) effective date, the review start of 2026-08-17, open until filled, and the PhD-by-Aug-1-2027 rule, with no closure sign. The sub-area emphasis ('AI &amp; Cybersecurity') rests on one aggregator title only and is unverified.</t>
  </si>
  <si>
    <t xml:space="preserve">first search</t>
  </si>
  <si>
    <t xml:space="preserve">Hofstra University</t>
  </si>
  <si>
    <t xml:space="preserve">Assistant/Associate Professor of Information Systems &amp; Business Analytics (Emphasis: Cybersecurity Management), Tenure-Track</t>
  </si>
  <si>
    <t xml:space="preserve">SUBMITTED 2026-09-15 (your tracker: "Hofstra University")</t>
  </si>
  <si>
    <t xml:space="preserve">https://hofstra.peopleadmin.com/postings/7620</t>
  </si>
  <si>
    <t xml:space="preserve">Information Systems &amp; Business Analytics</t>
  </si>
  <si>
    <t xml:space="preserve">Frank G. Zarb School of Business</t>
  </si>
  <si>
    <t xml:space="preserve">Assistant or Associate Professor (InsideHigherEd copy lists it as Assistant Professor)</t>
  </si>
  <si>
    <t xml:space="preserve">NY</t>
  </si>
  <si>
    <t xml:space="preserve">PeopleAdmin 7620 gives a full-consideration date of 2026-09-15. The InsideHigherEd copy (3517449) gives a full-consideration date of 2026-08-31. Both dates have passed, but the posting stays open until filled. The HERC aggregator listing is valid through 2027-08-02. Apply as soon as possible.</t>
  </si>
  <si>
    <t xml:space="preserve">Fall 2027</t>
  </si>
  <si>
    <t xml:space="preserve">IS &amp; Business Analytics department line with a cybersecurity-management emphasis. IS lines with a cybersecurity emphasis score 5. Fit: platform governance and misinformation research; cloud/IoT teaching. Advanced ABDs are considered for a non-tenure-track start, which helps with the June 2027 PhD. Fall 2027.</t>
  </si>
  <si>
    <t xml:space="preserve">https://careers.insidehighered.com/job/3517449/assistant-professor-of-information-systems-and-business-analytics/; https://main.hercjobs.org/jobs/22470884/assistant-associate-professor-of-information-systems-business-analytics; https://hofstra.peopleadmin.com/postings/7532</t>
  </si>
  <si>
    <t xml:space="preserve">Merged c0 and c1. Search 2 showed that IHE 3517449 is the same position (no. 896965, Fall 2027, cybersecurity emphasis, same contact and salary), not a separate general IS &amp; BA line, so the fit stays at 4. PeopleAdmin 7620 was confirmed as the official current-cycle posting (Fall 2027, open until filled). PeopleAdmin 7532 did not appear in either search; it is kept only as an unverified candidate URL and is likely an earlier or superseded copy. No sign of closure; HERC shows the listing valid through 2027-08-02.</t>
  </si>
  <si>
    <t xml:space="preserve">Kennesaw State University</t>
  </si>
  <si>
    <t xml:space="preserve">Assistant Professor of Information Systems and Security</t>
  </si>
  <si>
    <t xml:space="preserve">SUBMITTED 2026-09-28 (your tracker: "Kennesaw State University - Information Systems (300876)")</t>
  </si>
  <si>
    <t xml:space="preserve">https://careers.hprod.onehcm.usg.edu/psc/careers/CAREERS/HRMS/c/HRS_HRAM_FL.HRS_CG_SEARCH_FL.GBL?Page=HRS_APP_JBPST_FL&amp;Action=U&amp;FOCUS=Applicant&amp;SiteId=43000&amp;JobOpeningId=300876&amp;PostingSeq=1</t>
  </si>
  <si>
    <t xml:space="preserve">Michael J. Coles College of Business, Department of Information Systems and Security</t>
  </si>
  <si>
    <t xml:space="preserve">Coles College of Business</t>
  </si>
  <si>
    <t xml:space="preserve">Assistant Professor</t>
  </si>
  <si>
    <t xml:space="preserve">GA</t>
  </si>
  <si>
    <t xml:space="preserve">Priority/initial date 2026-09-30 has passed; applications accepted until filled. 'For full consideration, please apply by September 30, 2026' (AIS Academic Careers listing 85187674). This is a full-consideration (priority) date that has passed. No explicit closure notice was seen, but the search results do not say whether USG opening 300876 still accepts applications.</t>
  </si>
  <si>
    <t xml:space="preserve">August 2027 (from the earlier verifier/judge note; search results did not explicitly tie it to 300876)</t>
  </si>
  <si>
    <t xml:space="preserve">Field-based score of 5: a general tenure-track IS line in a business-school IS department, the candidate's rubric example 'Kennesaw IS &amp; Security'. Matching CV elements: MIS-concentration PhD from UWM Lubar; IS economics and causal-inference/ML/LLM/multimodal methods, which fit a data-analytics IS line; ISR R&amp;R and MISQ under review plus HICSS/AMCIS/ICIS work, strong for an R2; teaching of Intro to Connected Systems for Business (cloud/Azure/IoT) as instructor of record and TA for ML for Business (Python) and Intro to IT Management labs, which map onto core IS courses. Better fit than the cybersecurity line. Risks: ABD with an expected June 2027 PhD, which suits an August 2027 start. The full-consideration date (9/30/2026) has passed, so apply immediately if the portal is live.</t>
  </si>
  <si>
    <t xml:space="preserve">https://academiccareers.aisnet.org/job/assistant-professor-of-information-systems-and-security/85187674/; https://jobs.chronicle.com/job/38016276/assistant-professor-of-information-systems-and-security/</t>
  </si>
  <si>
    <t xml:space="preserve">Re-checked with one extended search. The Chronicle and AIS listings confirm the posting is current-cycle (posted July 2026). The 9/30/2026 date is a priority 'full consideration' date and no closure notice appeared, so the status is likely_open, not confirmed. The search results mixed 300740 and 300876, so the August 2027 start is not explicitly confirmed for 300876. The USG OneHCM portal could not be reached to confirm the opening is still live, so check it directly.</t>
  </si>
  <si>
    <t xml:space="preserve">second search (A)</t>
  </si>
  <si>
    <t xml:space="preserve">Cal Poly Pomona</t>
  </si>
  <si>
    <t xml:space="preserve">Computer Information Systems, Assistant Professor (Job #558301; tenure-track)</t>
  </si>
  <si>
    <t xml:space="preserve">SUBMITTED 2026-10-09 (your tracker: "California State Polytechnic University, Pomona")</t>
  </si>
  <si>
    <t xml:space="preserve">https://careers.cpp.edu/po/en-us/job/558301/computer-information-systems-assistant-professor</t>
  </si>
  <si>
    <t xml:space="preserve">Computer Information Systems</t>
  </si>
  <si>
    <t xml:space="preserve">College of Business Administration</t>
  </si>
  <si>
    <t xml:space="preserve">The posting says 'open until filled' and gives first consideration to completed applications received by 2026-10-11, a date that has passed as of today (2026-10-14). The PageUp/CSU mirror also shows 'Applications close: Oct 11 2026 PDT'. It is unclear whether the portal still accepts applications, so apply immediately via careers.cpp.edu job 558301 or email huishi@cpp.edu to confirm late applications are accepted.</t>
  </si>
  <si>
    <t xml:space="preserve">Fall Semester 2027</t>
  </si>
  <si>
    <t xml:space="preserve">Tenure-track line in the business college's CIS department. The primary area, AI applications for business, plus big data and data mining, matches the ML/LLM and multimodal-data methods, the AI-in-business teaching interest and the Python ML TA role. Fall 2027 start; $132-136K.</t>
  </si>
  <si>
    <t xml:space="preserve">https://csucareers.calstate.edu/en-us/job/558301/computer-information-systems-assistant-professor; https://academiccareers.aisnet.org/job/tenure-track-assistant-professor-in-computer-information-systems/84677575/; https://jobs.chronicle.com/job/37996492/computer-information-systems-assistant-professor/</t>
  </si>
  <si>
    <t xml:space="preserve">Verified with 2 searches. The official careers.cpp.edu job 558301 and its CSU/AIS/Chronicle mirrors confirm a Fall 2027 start, a 2026-05-15 open date, open-until-filled wording and first consideration by 2026-10-11. I marked it likely_open, not confirmed_open, because PageUp lists 'Applications close: Oct 11 2026', 3 days before today, which conflicts with the open-until-filled wording. The candidate should confirm the portal still accepts applications. A separate careersingovernment listing (job 844511) and a 2023-24 POMS PDF for the same title appear to be prior cycles and were not used.</t>
  </si>
  <si>
    <t xml:space="preserve">Miami University</t>
  </si>
  <si>
    <t xml:space="preserve">Assistant or Associate Professor - Information Systems</t>
  </si>
  <si>
    <t xml:space="preserve">open until filled</t>
  </si>
  <si>
    <t xml:space="preserve">SUBMITTED 2026-07-13 (your tracker: "Miami University")</t>
  </si>
  <si>
    <t xml:space="preserve">https://miamioh.wd5.myworkdayjobs.com/en-US/miamioh-faculty/job/Assistant-or-Associate-Professor---Information-Systems_JR104290</t>
  </si>
  <si>
    <t xml:space="preserve">Information Systems &amp; Analytics</t>
  </si>
  <si>
    <t xml:space="preserve">Farmer School of Business</t>
  </si>
  <si>
    <t xml:space="preserve">Assistant or Associate Professor (tenure-track/tenured)</t>
  </si>
  <si>
    <t xml:space="preserve">OH</t>
  </si>
  <si>
    <t xml:space="preserve">Screening date 2026-09-01. The official Workday listing says screening begins in early September 2026 and continues until the position is filled. The priority date has passed but applications are still accepted. Faculty planned to meet candidates at AMCIS. Contact: Dr. Zafer Ozdemir (ozdemir@miamioh.edu).</t>
  </si>
  <si>
    <t xml:space="preserve">Fall 2027 (AY 2027-28)</t>
  </si>
  <si>
    <t xml:space="preserve">IS line in Farmer's Information Systems &amp; Analytics dept: direct match to the candidate's MIS PhD, ISR R&amp;R/MISQ pipeline, and technical/managerial IS teaching (instructor of record Connected Systems for Business, cloud/Azure, Python/ML). Asst or Assoc; Fall 2027 fits; open until filled - apply early.</t>
  </si>
  <si>
    <t xml:space="preserve">https://jobs.chronicle.com/job/37999589/assistant-or-associate-professor-information-systems/; https://careers.insidehighered.com/job/3515220/assistant-or-associate-professor-information-systems/</t>
  </si>
  <si>
    <t xml:space="preserve">Verified with one extended search. The official Workday req JR104290 confirms the Fall 2027 start and that screening started 2026-09-01 and continues until filled. The Chronicle copy is dated 2026-06-09, so this is the current cycle. No sign of closure was found. The Workday URL is now the primary link, replacing the Chronicle one. The Glassdoor search-page URL was dropped as non-specific. The same results showed other Miami postings whose cycle and dates could not be checked within budget, so they are not added: Chronicle 37967565 'Visiting Assistant Professor/Instructor - Information Systems'; a NationalPostdoc copy 'Assistant Professor-Information Systems (Cybersecurity Focus)'; and Chronicle 37998066 'Assistant Professor', department unknown. They may be worth a separate check.</t>
  </si>
  <si>
    <t xml:space="preserve">San Jose State University</t>
  </si>
  <si>
    <t xml:space="preserve">Assistant Professor, School of Information Systems &amp; Technology</t>
  </si>
  <si>
    <t xml:space="preserve">SUBMITTED 2026-09-30 (your tracker: "San Jose State University")</t>
  </si>
  <si>
    <t xml:space="preserve">https://jobs.sjsu.edu/en-us/job/562131/assistant-professor-school-of-information-systems-technology?1ApplicationSubSourceID=11266</t>
  </si>
  <si>
    <t xml:space="preserve">School of Information Systems &amp; Technology (SISTech)</t>
  </si>
  <si>
    <t xml:space="preserve">Lucas College and Graduate School of Business</t>
  </si>
  <si>
    <t xml:space="preserve">The application deadline was October 1, 2026 (passed). Applications are still accepted until the position is filled or closed. The official jobs.sjsu.edu page shows an open date of September 15, 2026 and no close date. No separate review date was found.</t>
  </si>
  <si>
    <t xml:space="preserve">2027-08-17</t>
  </si>
  <si>
    <t xml:space="preserve">School of Information Systems &amp; Technology TT line - IS in a business school: matches MIS PhD, cloud/IoT/Azure teaching and ML methods. Aug 2027 start fits; open until filled.</t>
  </si>
  <si>
    <t xml:space="preserve">https://careers.insidehighered.com/job/3551687/assistant-professor-school-of-information-systems-and-technology/?TrackID=11</t>
  </si>
  <si>
    <t xml:space="preserve">Verified 2026-10-14: the official jobs.sjsu.edu posting (562131) shows the current cycle (opened Sep 15, 2026, Aug 2027 start) with no close date. The IHE copy shows an Oct 1, 2026 deadline with 'accepted until filled or closed', so it counts as open with the priority date passed. The candidate's 'open until filled' was right, but it missed the Oct 1 deadline.</t>
  </si>
  <si>
    <t xml:space="preserve">University of Tulsa</t>
  </si>
  <si>
    <t xml:space="preserve">Assistant Professor of Business Information Systems (tenure-track)</t>
  </si>
  <si>
    <t xml:space="preserve">not stated</t>
  </si>
  <si>
    <t xml:space="preserve">Not stated</t>
  </si>
  <si>
    <t xml:space="preserve">SUBMITTED 2026-08-29 (your tracker: "University of Tulsa")</t>
  </si>
  <si>
    <t xml:space="preserve">https://utulsa.edu/departments/accounting-business-information-systems/</t>
  </si>
  <si>
    <t xml:space="preserve">Accounting &amp; Business Information Systems (Business Information Systems area)</t>
  </si>
  <si>
    <t xml:space="preserve">Collins College of Business</t>
  </si>
  <si>
    <t xml:space="preserve">OK</t>
  </si>
  <si>
    <t xml:space="preserve">No closing date, review date or 'open until filled' wording appears in the candidate evidence or in my verification search. Neither the official UTulsa HR/careers page nor Interfolio showed up in results. Treat it as rolling, apply early and check the UTulsa careers portal for the official deadline.</t>
  </si>
  <si>
    <t xml:space="preserve">August 2027 (per the job-board copy; unverified)</t>
  </si>
  <si>
    <t xml:space="preserve">Business Information Systems in a business school = 5. IS/IT teaching matches the cloud/IoT/Azure instructor-of-record course and IT Management labs. Cybersecurity is a gap. Details come from a job-board copy, so verify on the official page. Aug 2027 start.</t>
  </si>
  <si>
    <t xml:space="preserve">Official listing / portal page - search for the title there</t>
  </si>
  <si>
    <t xml:space="preserve">https://alumni.ebape.fgv.br/pt-br/node/1636</t>
  </si>
  <si>
    <t xml:space="preserve">I used my one extended search on this posting and could not confirm it on official UTulsa or major aggregator pages. The only evidence is the candidate's third-party job-board copy, which states an August 2027 (current-cycle) start. I found no sign of closure, so I am keeping it as likely_open with low confidence. Confirm on the UTulsa careers site (utulsa.edu HR / Workday) before applying.</t>
  </si>
  <si>
    <t xml:space="preserve">APPLY NOW - review already started / rolling</t>
  </si>
  <si>
    <t xml:space="preserve">Assistant Professor of Information Systems (Cybersecurity Focus)</t>
  </si>
  <si>
    <t xml:space="preserve">LIKELY - sponsorship not stated (ask HR); can start on OPT</t>
  </si>
  <si>
    <t xml:space="preserve">Not mentioned</t>
  </si>
  <si>
    <t xml:space="preserve">OK - starts after your expected PhD (June 2027); post-completion OPT can cover it</t>
  </si>
  <si>
    <t xml:space="preserve">Not this posting - you applied to Miami University on 2026-07-13 for another line; confirm if you also want this one</t>
  </si>
  <si>
    <t xml:space="preserve">https://miamioh.wd5.myworkdayjobs.com/en-US/miamioh-faculty/job/Farmer-School-of-Business/Assistant-Professor_JR104289</t>
  </si>
  <si>
    <t xml:space="preserve">likely</t>
  </si>
  <si>
    <t xml:space="preserve">Department of Information Systems &amp; Analytics (ISA)</t>
  </si>
  <si>
    <t xml:space="preserve">The candidate list gives 2026-09-01 as the priority review date, which has already passed. The search did not show a final closing date. Chronicle lists JR104289 as posted Jun 8, 2026, for a Fall 2027 start. The Workday requisition still appears in search results, so it is most likely still accepting applications. Check the Workday page to confirm.</t>
  </si>
  <si>
    <t xml:space="preserve">nothing found: the search summary on the Chronicle/Workday listings says nothing about visa sponsorship either way</t>
  </si>
  <si>
    <t xml:space="preserve">None stated</t>
  </si>
  <si>
    <t xml:space="preserve">The search showed no industry or professional experience requirement. Duties listed are teaching in the Information Systems &amp; Cybersecurity Management (ISCM) program, research, advising, service, and business community engagement.</t>
  </si>
  <si>
    <t xml:space="preserve">A doctorate in information systems or a closely related field is required by the appointment date, or by Dec 31, 2027 for a second-year appointment. Assistant Professor appointments also require prior experience teaching IS courses in a business school. That wording comes from the Chronicle listing for the sibling requisition JR104290 (Assistant or Associate Professor - IS). JR104289 most likely uses the same wording, but this is not confirmed. The candidate's June 2027 PhD would meet the timeline.</t>
  </si>
  <si>
    <t xml:space="preserve">Under the learned rubric, a tenure-track IS line in a business-school IS department scores 5, and IS lines with a cybersecurity emphasis are explicitly included (compare Kennesaw IS &amp; Security). The candidate's MIS PhD from UWM Lubar (June 2027) fits the Fall 2027 start. The R&amp;R at ISR and the MISQ submission match the requirement of research aimed at top-tier IS journals. Teaching fits well: they were instructor of record for Intro to Connected Systems for Business (cloud, IoT, Azure labs) and TA for Intro to IT Management labs, which suits the ISCM core and its infrastructure and IT-management courses. Risks: the research (creator economy, influencers, misinformation and platform governance, monetization) is not about cybersecurity, so the application needs to frame the platform-governance and misinformation work as information-risk and trust-and-safety work. The 2026-09-01 priority date has passed, so a late application may get less attention. The sister posting asks assistant-level applicants for prior business-school teaching, which this candidate's instructor-of-record experience satisfies. Applying as ABD with a June 2027 defense is acceptable for a Fall 2027 start.</t>
  </si>
  <si>
    <t xml:space="preserve">https://jobs.chronicle.com/job/37998066/assistant-professor/?TrackID=10</t>
  </si>
  <si>
    <t xml:space="preserve">Full-time tenure-track Assistant Professor of IS (Cybersecurity Focus) at the Farmer School of Business in Oxford, OH, starting Fall 2027. There is also a sibling posting, JR104290 (Assistant or Associate Professor - Information Systems). The research-tenure-track type matches the candidate's need for long-term H-1B sponsorship. The search returned no sponsorship statement, so the candidate should ask HR. The cybersecurity focus is a fit concern for an MIS PhD. Sources: https://jobs.chronicle.com/job/37998066/assistant-professor/ ; https://jobs.chronicle.com/job/37998957/assistant-or-associate-professor-information-systems/ ; https://miamioh.wd5.myworkdayjobs.com/en-US/miamioh-faculty/job/Farmer-School-of-Business/Assistant-Professor_JR104289</t>
  </si>
  <si>
    <t xml:space="preserve">Assistant Professor of Information Systems and Security (Cybersecurity)</t>
  </si>
  <si>
    <t xml:space="preserve">Not this posting - you applied to Kennesaw State University on 2026-09-28 for another line; confirm if you also want this one</t>
  </si>
  <si>
    <t xml:space="preserve">https://www.udiversity.com/posting/7276573</t>
  </si>
  <si>
    <t xml:space="preserve">The full-consideration date was 2026-09-27 (HigherEdJobs: 'For full consideration, please apply by September 27, 2026'), and that date has passed. An aggregator (Bebee/Lensa) lists the posting as valid through 2026-09-29. In the search snippets, the Chronicle and HigherEdJobs listings show a blank 'Apply Before Date'. The original file says applications are accepted until the position is filled. No confirmation of a closure was found. Check the USG OneHCM careers page (Job Opening ID 300740) to confirm it is still active.</t>
  </si>
  <si>
    <t xml:space="preserve">August 2027 (preferred)</t>
  </si>
  <si>
    <t xml:space="preserve">Nothing found. The search results (Chronicle 38016277, HigherEdJobs 179502436, aggregators) do not mention visa sponsorship or work authorization. One snippet only notes that the work must be performed in Georgia.</t>
  </si>
  <si>
    <t xml:space="preserve">No industry or professional work-experience requirement appears. The posting asks for 'documented cybersecurity technical skills' and a research record. These are technical-skill and research requirements, not years of industry employment.</t>
  </si>
  <si>
    <t xml:space="preserve">A doctorate in Business Administration, Information Systems, Information Security, Cybersecurity, or a closely related field must be in hand at the time of hire, earned from an AACSB-accredited school. Prior teaching experience is required. Documented cybersecurity technical skills and a research record are expected. Full-time, tenure-track, nine-month contract. Preferred start is August 2027, so a June 2027 PhD fits if it is conferred before the start date. The role teaches undergraduate and graduate courses in the technical aspects of cybersecurity.</t>
  </si>
  <si>
    <t xml:space="preserve">Field-based score of 5: a tenure-track IS line in a business school (Coles Dept of IS &amp; Security), the candidate's own rubric example 'Kennesaw IS &amp; Security'. Supporting CV elements: MIS-concentration PhD from UWM Lubar; ISR R&amp;R and MISQ under review; HICSS/AMCIS/ICIS publications; instructor of record for Intro to Connected Systems for Business (cloud, IoT, Azure labs), which partly overlaps technical systems content. Specialization risk: the line asks for someone to teach the technical side of cybersecurity, and the candidate's research (creator economy, misinformation/platform governance, monetization, IS economics) and teaching record contain no security work. Only the platform-governance/misinformation research and the cloud/IoT course connect, which makes this a weak 5 that will be hard to win. Timing: August 2027 start matches the expected June 2027 PhD (ABD). The full-consideration date has passed, so apply immediately if the portal is still live.</t>
  </si>
  <si>
    <t xml:space="preserve">https://jobs.chronicle.com/job/38016277/assistant-professor-of-information-systems-and-security-cybersecurity-/; https://www.ziprecruiter.com/c/Kennesaw-State-University/Job/Assistant-Professor-of-Information-Systems-and-Security-(Cybersecurity)/-in-Kennesaw,GA?jid=8acda15458fe4f78; https://careers.hprod.onehcm.usg.edu/psc/careers/CAREERS/HRMS/c/HRS_HRAM_FL.HRS_CG_SEARCH_FL.GBL?Page=HRS_APP_JBPST_FL&amp;Action=U&amp;FOCUS=Applicant&amp;SiteId=43000&amp;JobOpeningId=300740&amp;PostingSeq=1; https://www.higheredjobs.com/faculty/details.cfm?JobCode=179502436</t>
  </si>
  <si>
    <t xml:space="preserve">This is a cybersecurity-focused information systems role. The candidate's MIS PhD may fit, but the 'documented cybersecurity technical skills' requirement could be a gap. Do not confuse it with KSU's separate 'Assistant Professor of Information Systems and Security' (Chronicle 38016276) or the FinTech posting (HigherEdJobs 179141340, which had an older 2025 deadline). Sponsorship is not stated. KSU is a public USG university, so it can file cap-exempt H-1B petitions, but this posting does not confirm that it will. The candidate can start on OPT. Sources: https://jobs.chronicle.com/job/38016277/assistant-professor-of-information-systems-and-security-cybersecurity-/ , https://www.higheredjobs.com/faculty/details.cfm?JobCode=179502436 , https://bebee.com/us/jobs/assistant-professor-cybersecurity-information-systems-kennesaw-state-university-kennesaw--lensa-7428_daad1b3e0ce31083e0d6652d10a55eba3830ef7ffaf1b890f8f45970f41e7089</t>
  </si>
  <si>
    <t xml:space="preserve">APPLY NOW - rolling, no fixed deadline</t>
  </si>
  <si>
    <t xml:space="preserve">Abilene Christian University</t>
  </si>
  <si>
    <t xml:space="preserve">Information Systems - Open Rank Tenure Track or College Faculty (also listed as 'Professor - Information Systems College Faculty or Tenure Track')</t>
  </si>
  <si>
    <t xml:space="preserve">Not submitted</t>
  </si>
  <si>
    <t xml:space="preserve">https://www.sorce.jobs/jobs/information-systems-open-rank-tenure-track-or-college-faculty-acu-j1_dNadE8uIFSnXonoZpzLAelS3rzKqz2sjwpBl_DwxOmev1iGrFQ</t>
  </si>
  <si>
    <t xml:space="preserve">Department of Management Sciences (inferred: ACU's Management Sciences Department runs the IS major; the posting text seen does not name the department)</t>
  </si>
  <si>
    <t xml:space="preserve">Open rank, tenure-track (Assistant/Associate/Full), or non-tenure-track 'College Faculty' (teaching), depending on experience and qualifications</t>
  </si>
  <si>
    <t xml:space="preserve">TX</t>
  </si>
  <si>
    <t xml:space="preserve">No closing date in the search results or in the listings already seen (HigherEdJobs JobCode 179363759, ZipRecruiter, Sorce, Teal). The listings are still live as of 2026-10-14. HigherEdJobs gives a schema 'valid through' of 2027-08-06, which is not an application deadline. Treat it as rolling and apply early. Related ACU business-school open-rank searches are for Fall 2027.</t>
  </si>
  <si>
    <t xml:space="preserve">Not stated (current cycle; ACU's parallel COBA open-rank searches are for Fall 2027)</t>
  </si>
  <si>
    <t xml:space="preserve">Nothing found. The search turned up nothing about visa sponsorship or work authorization in the HigherEdJobs, ZipRecruiter, Teal or Sorce listings. Ask ACU HR directly.</t>
  </si>
  <si>
    <t xml:space="preserve">The Information Systems listings do not mention industry or professional experience. Rank (open rank) depends on 'experience and qualifications'. A separate ACU Accounting open-rank posting (AAA career center) asks for 'a strong record of research and/or professional experience', but that is a different department.</t>
  </si>
  <si>
    <t xml:space="preserve">Dual track: open rank tenure-track (Assistant/Associate/Full) OR a non-tenure-track 'College Faculty' teaching appointment, depending on qualifications. Must be a professing Christian who supports ACU's Christian mission. Application needs academic letters of recommendation, a statement of spiritual journey and a statement on ACU's identity and mission. Teaching covers undergraduate and possibly graduate IS, data analytics, operations management and/or applied AI, in residential and online programs. Tenure-track faculty are expected to publish peer-reviewed research and mentor students. The terminal-degree timing (whether the PhD must be in hand by the start date) was not confirmed in the search results.</t>
  </si>
  <si>
    <t xml:space="preserve">IS line in COBA (Management Sciences dept runs the IS major). Covers IS, data analytics and applied AI for business, which matches the MIS PhD, ML/LLM methods, the AI-in-business teaching interest and the Connected Systems (cloud/IoT/Azure) instructor-of-record role. Open rank, with a College Faculty teaching route as a fallback for an ABD. Risks: applicants must be professing Christians, and the start date is not stated.</t>
  </si>
  <si>
    <t xml:space="preserve">https://www.ziprecruiter.com/c/Abilene-Christian-University/Job/Information-Systems-Open-Rank-Tenure-Track-or-College-Faculty/-in-Abilene,TX?jid=fe840bdf621e218a; https://www.higheredjobs.com/details.cfm?JobCode=179363759; https://www.tealhq.com/job/professor-information-systems-college-faculty-or-tenure-track_7ea1abe5801d0e061f1c5e0b2f2189f86e0f1; https://www.higheredjobs.com/faculty/details.cfm?JobCode=179363759</t>
  </si>
  <si>
    <t xml:space="preserve">Fits the MIS profile, and no industry experience appears to be required. Sponsorship is not addressed, so the candidate could start on OPT but should confirm H-1B support with HR. The faith requirement may be a barrier. A non-tenure 'College Faculty' version of the role is also possible. Sources: https://www.higheredjobs.com/faculty/details.cfm?JobCode=179363759 ; https://www.ziprecruiter.com/c/Abilene-Christian-University/Job/Information-Systems-Open-Rank-Tenure-Track-or-College-Faculty/-in-Abilene,TX?jid=fe840bdf621e218a ; https://www.tealhq.com/job/professor-information-systems-college-faculty-or-tenure-track_7ea1abe5801d0e061f1c5e0b2f2189f86e0f1</t>
  </si>
  <si>
    <t xml:space="preserve">Appalachian State University</t>
  </si>
  <si>
    <t xml:space="preserve">Lowe's Tech Distinguished Professor and Program Director in Cybersecurity</t>
  </si>
  <si>
    <t xml:space="preserve">YES - sponsorship stated</t>
  </si>
  <si>
    <t xml:space="preserve">Yes - stated</t>
  </si>
  <si>
    <t xml:space="preserve">TIMING ISSUE - starts before your PhD is done (June 2027): needs CPT or pre-completion OPT from your DSO</t>
  </si>
  <si>
    <t xml:space="preserve">https://jobs.chronicle.com/job/38027818/lowe-s-tech-distinguished-professor-and-program-director-in-cybersecurity/</t>
  </si>
  <si>
    <t xml:space="preserve">Walker College of Business</t>
  </si>
  <si>
    <t xml:space="preserve">Distinguished Professor (endowed, tenured/tenure-track) plus Cybersecurity Program Director</t>
  </si>
  <si>
    <t xml:space="preserve">NC</t>
  </si>
  <si>
    <t xml:space="preserve">Review of applications began 08/24/2026 and the posting is open until filled. The proposed hire date is 01/01/2027. It is listed as PeopleAdmin posting 56357 (position 096741). No closing date was found.</t>
  </si>
  <si>
    <t xml:space="preserve">2027-01-01</t>
  </si>
  <si>
    <t xml:space="preserve">The search summary of the Chronicle and PeopleAdmin listings says "Visa sponsorship is available." I could not read the exact posting text myself.</t>
  </si>
  <si>
    <t xml:space="preserve">Start on OPT / STEM OPT, then university files H-1B (universities are H-1B cap-exempt: no lottery, any time of year).</t>
  </si>
  <si>
    <t xml:space="preserve">No industry experience is required. A cybersecurity professional certification (e.g., ISACA, ISC2) is listed as desired.</t>
  </si>
  <si>
    <t xml:space="preserve">Requires a PhD or other terminal degree (DBA, DSc) in IS, Cybersecurity or a related field from an AACSB or equivalent institution. The candidate must already hold the rank of full or associate professor. Also required: an active, internationally recognized cybersecurity research record and success securing grants. Desired: curriculum leadership and a distinguished record teaching cybersecurity.</t>
  </si>
  <si>
    <t xml:space="preserve">Cybersecurity line in the business school's CIS department. IS lines with a cybersecurity emphasis score 5 at any rank. Links: platform governance and misinformation research; cloud/IoT teaching. Rank risk: endowed Distinguished Professor plus program director, a far reach for an ABD. 2027-01-01 start.</t>
  </si>
  <si>
    <t xml:space="preserve">Job-board copy of the posting</t>
  </si>
  <si>
    <t xml:space="preserve">https://jobs.chronicle.com/job/38027818/lowe-s-tech-distinguished-professor-and-program-director-in-cybersecurity/?TrackID=10</t>
  </si>
  <si>
    <t xml:space="preserve">This is a senior endowed distinguished professorship that requires current associate or full professor rank and a degree already in hand. An ABD candidate expecting the PhD in June 2027 does not meet the minimum qualifications, so this is not a realistic fit despite the sponsorship.</t>
  </si>
  <si>
    <t xml:space="preserve">Ball State University</t>
  </si>
  <si>
    <t xml:space="preserve">Assistant Professor of Information Systems and Operations Management</t>
  </si>
  <si>
    <t xml:space="preserve">https://jobs.chronicle.com/job/38043081/assistant-professor-of-information-systems-and-operations-management/</t>
  </si>
  <si>
    <t xml:space="preserve">Information Systems and Operations Management (ISOM)</t>
  </si>
  <si>
    <t xml:space="preserve">Miller College of Business</t>
  </si>
  <si>
    <t xml:space="preserve">IN</t>
  </si>
  <si>
    <t xml:space="preserve">No closing or review date appeared in the search results for the Chronicle listing (job 38043081, posted 2026-09-23) or the Workopia mirror. An earlier job-board lead gave 2026-10-28, but this search could not confirm it. Check the official Ball State HR posting. Because no deadline is confirmed, treat it as apply-soon.</t>
  </si>
  <si>
    <t xml:space="preserve">2027-08-02</t>
  </si>
  <si>
    <t xml:space="preserve">In the search result summary of the Chronicle listing, the visa sponsorship field says the employer 'will consider sponsorship'. It does not say which visa (for example, H-1B) and does not guarantee sponsorship. Confirm with the department or HR.</t>
  </si>
  <si>
    <t xml:space="preserve">The results show no industry or professional experience requirement. The minimum and preferred qualifications sections came back blank, and the duties cover only teaching and research.</t>
  </si>
  <si>
    <t xml:space="preserve">Full-time tenure-track role in the Miller College of Business, ISOM department, in Muncie, IN. Start date 2027-08-02; salary $130,000-$135,000. Teaching load is 9 semester hours each in fall and spring, in areas such as business analytics, networking, databases, cybersecurity and AI in business, with research expected in those fields. The listing names a cover letter, teaching evaluations and a teaching philosophy as preferred application materials. The degree requirement (for example, a PhD by the start date) did not show in the results, so check it on the full posting.</t>
  </si>
  <si>
    <t xml:space="preserve">ISOM department in the Miller College of Business, assistant tenure-track IS/BA line. Teaching on networking, cybersecurity and AI in business matches the Connected Systems (cloud/IoT/Azure) and ML for Business experience. Research pipeline (ISR R&amp;R, MISQ) fits. Deadline 2026-10-28 is urgent; Aug 2027 start.</t>
  </si>
  <si>
    <t xml:space="preserve">https://jobs.chronicle.com/job/38043081/assistant-professor-of-information-systems-and-operations-management/?TrackID=10; https://workopia.io/jobs/94a19bb54d94d1d1b68abcb0e8832b6f</t>
  </si>
  <si>
    <t xml:space="preserve">This is a good fit for an MIS PhD expected June 2027, since the August 2027 start comes after the degree date. Sponsorship is listed only as 'will consider'. No industry experience is needed. Sources: https://jobs.chronicle.com/job/38043081/assistant-professor-of-information-systems-and-operations-management/?TrackID=10 and https://workopia.io/jobs/94a19bb54d94d1d1b68abcb0e8832b6f</t>
  </si>
  <si>
    <t xml:space="preserve">Chapman University</t>
  </si>
  <si>
    <t xml:space="preserve">Assistant Professor of Management Science, Tenure-Track, Fall 2027</t>
  </si>
  <si>
    <t xml:space="preserve">https://jobs.chronicle.com/job/38045010/assistant-professor-of-management-science-tenure-track-fall-2027/</t>
  </si>
  <si>
    <t xml:space="preserve">Management Science</t>
  </si>
  <si>
    <t xml:space="preserve">Argyros College of Business and Economics</t>
  </si>
  <si>
    <t xml:space="preserve">No fixed deadline. Posted 2026-09-17 on the Chronicle and Chapman's Interfolio (apply.interfolio.com/44328), where the deadline column is blank; earlier evidence said review is rolling until filled. Start date is 2027-08-01. Applying soon is advisable because review is rolling.</t>
  </si>
  <si>
    <t xml:space="preserve">2027-08-01</t>
  </si>
  <si>
    <t xml:space="preserve">nothing found. The search results (the Chronicle listing and the Interfolio open-positions page) did not mention visa or H-1B sponsorship either way.</t>
  </si>
  <si>
    <t xml:space="preserve">No industry or professional experience requirement appeared in the results. It is a research-focused tenure-track role with a reduced teaching load, a summer research stipend and a discretionary research budget.</t>
  </si>
  <si>
    <t xml:space="preserve">The 2027 qualifications text did not appear in the results. Chapman's earlier Management Science tenure-track postings (2020/2021) required the doctorate by the August 1 start and showed potential to publish in business journals. A PhD by 2027-08-01 is likely required, which fits the candidate's expected June 2027 defense.</t>
  </si>
  <si>
    <t xml:space="preserve">Business-school Management Science line that explicitly invites IS and the economics of digitization, with an AI interest. It is an IS-inclusive unit, mirroring the candidate's own Management Science (MIS) PhD and IS-economics/creator-economy work with ML/LLM methods. 2027-08-01 start fits.</t>
  </si>
  <si>
    <t xml:space="preserve">https://apply.interfolio.com/44328/positions</t>
  </si>
  <si>
    <t xml:space="preserve">Tenure-track Assistant Professor of Management Science at the Argyros College of Business and Economics, Orange CA. A good fit for an MIS/Management Science PhD with no industry experience. Sponsorship isn't stated, so confirm with the search chair or HR. Post-completion OPT (and possibly STEM OPT) could cover the start while H-1B is pursued; as a university, Chapman is cap-exempt for H-1B. Sources: https://jobs.chronicle.com/job/38045010/assistant-professor-of-management-science-tenure-track-fall-2027/ ; https://apply.interfolio.com/44328/positions</t>
  </si>
  <si>
    <t xml:space="preserve">Hampton University</t>
  </si>
  <si>
    <t xml:space="preserve">Management Information Systems (MIS) Professor</t>
  </si>
  <si>
    <t xml:space="preserve">CHECK - posting start date is garbled ("Spring 2026"); ask whether a Fall 2027 start is possible</t>
  </si>
  <si>
    <t xml:space="preserve">https://home.hamptonu.edu/hr/2026/05/29/management-information-systems-mis-professor-department-of-business-administration-and-accounting/</t>
  </si>
  <si>
    <t xml:space="preserve">Department of Business Administration and Accounting</t>
  </si>
  <si>
    <t xml:space="preserve">JTG School of Business</t>
  </si>
  <si>
    <t xml:space="preserve">Assistant Professor (Chronicle text: 'seeking an Assistant Professor in MIS'); tenure status not stated</t>
  </si>
  <si>
    <t xml:space="preserve">VA</t>
  </si>
  <si>
    <t xml:space="preserve">Review of applications begins immediately and continues until the position is filled; there is no fixed closing date. The official Hampton HR post (URL dated 2026/05/29) and Chronicle listing 37995070 (posted Jun 1, 2026) both still show up in search on 2026-10-14. Neither result says the position is closed. The Chronicle ad's 'valid through 2026-08-02' date looks like the ad's run date, not a deadline.</t>
  </si>
  <si>
    <t xml:space="preserve">The posting text says 'Spring 2026', which is impossible for an ad posted in May/June 2026. It is most likely Spring 2027 (January 2027). Not confirmed.</t>
  </si>
  <si>
    <t xml:space="preserve">nothing found. Neither the Hampton HR posting nor the Chronicle listing mentions visa sponsorship or work authorization.</t>
  </si>
  <si>
    <t xml:space="preserve">No industry or professional experience requirement appears. The duties include keeping course materials current with industry standards, which is not an experience requirement.</t>
  </si>
  <si>
    <t xml:space="preserve">HR posting: PhD in Information Systems, MIS, IT, Computer Information Systems or a closely related field from an accredited institution, AND an MBA from an accredited institution. It also asks for demonstrated collegiate teaching ability and strong communication skills. The Chronicle version lists only an MBA as the minimum qualification. Teaching covers undergraduate and graduate courses such as business analytics, data management, and systems analysis and design. Salary is $60,000-$70,000.</t>
  </si>
  <si>
    <t xml:space="preserve">Assistant Professor in MIS at the JTG School of Business, so 5. Fits the MIS PhD, IT Management lab and Connected Systems teaching. Risks: start is likely Spring 2027, before the June 2027 PhD; tenure status not stated; low salary ($60-70K).</t>
  </si>
  <si>
    <t xml:space="preserve">https://jobs.chronicle.com/job/37995070/management-information-systems-mis-professor-department-of-business-administration-and/; https://home.hamptonu.edu/hr/posts-faculty/</t>
  </si>
  <si>
    <t xml:space="preserve">The Chronicle text describes the job as 'an Assistant Professor in MIS'. Tenure status is not stated, so the tenure-track classification is assumed from the rank. The start term is given as 'Spring 2026', which is impossible for a June 2026 ad, so it is likely Spring 2027. Your PhD (expected June 2027) would not be finished by then, and the HR posting may also require an MBA. Ask HR about the start date, the MBA requirement and sponsorship before applying.</t>
  </si>
  <si>
    <t xml:space="preserve">North Carolina A&amp;T State University</t>
  </si>
  <si>
    <t xml:space="preserve">Assistant/Associate Professor - Business Information Systems and Analytics (Position 001506, posting EPA3220)</t>
  </si>
  <si>
    <t xml:space="preserve">LIKELY - sponsorship not stated (ask HR); can start on OPT (industry experience preferred, not required)</t>
  </si>
  <si>
    <t xml:space="preserve">Preferred</t>
  </si>
  <si>
    <t xml:space="preserve">https://jobs.chronicle.com/job/38045022/assistant-associate-professor-business-information-systems-and-analytics/</t>
  </si>
  <si>
    <t xml:space="preserve">yes</t>
  </si>
  <si>
    <t xml:space="preserve">Business Information Systems and Analytics (BISA)</t>
  </si>
  <si>
    <t xml:space="preserve">Willie A. Deese College of Business and Economics</t>
  </si>
  <si>
    <t xml:space="preserve">Assistant or Associate Professor (tenure-track)</t>
  </si>
  <si>
    <t xml:space="preserve">The NCAT portal and the Chronicle listing show an open date of 09/28/2026 and 'Open Until Filled', with the position available August 2027. No fixed closing or priority date appeared in the results. The HigherEdJobs copy (JobCode 179300607) reportedly expires in May 2027. Because review usually starts when applications arrive, apply early.</t>
  </si>
  <si>
    <t xml:space="preserve">August 2027 (Fall 2027), per the Chronicle listing</t>
  </si>
  <si>
    <t xml:space="preserve">Nothing found. The search summary says no result covered this posting's visa policy, and the posting text lists none. The only sponsorship statement in the results came from an unrelated Appalachian State listing.</t>
  </si>
  <si>
    <t xml:space="preserve">The search summary says 'industry experience and certifications are desirable', next to research potential and publications. It is not listed as required. That wording may come from an earlier (2022, AISWorld) version of the same BISA posting.</t>
  </si>
  <si>
    <t xml:space="preserve">An earned doctorate is required at the time of appointment, from an AACSB-accredited institution, in business/data analytics, decision sciences, information systems or technology, industrial engineering, statistics, computer science, or a closely related field. Applicants should show potential for a research record (refereed journals, conferences). The role is a 9-month, 40 hr/week tenure-track line teaching business analytics, IS and IT. An ABD candidate finishing in June 2027 can meet this before the August 2027 start.</t>
  </si>
  <si>
    <t xml:space="preserve">Business Information Systems &amp; Analytics TT line: direct match to the candidate's MIS PhD, ML/econometrics research and IS/BA teaching (Connected Systems for Business, ML for Business TA, IT Mgmt labs). Asst or Assoc; Aug 2027 start fits.</t>
  </si>
  <si>
    <t xml:space="preserve">https://jobs.chronicle.com/job/38045022/assistant-associate-professor-business-information-systems-and-analytics/?TrackID=10; https://www.higheredjobs.com/faculty/details.cfm?JobCode=179300607; https://jobs.ncat.edu/postings/search?commit=Search&amp;page=1&amp;utf8=%E2%9C%93</t>
  </si>
  <si>
    <t xml:space="preserve">This is a good MIS fit, and it is a tenure-track rank at an R2 HBCU. The University of North Carolina System generally does sponsor H-1B for tenure-track faculty, but this posting does not say so either way. Confirm with NCAT HR or the BISA department chair. OPT would cover the first year after the PhD.</t>
  </si>
  <si>
    <t xml:space="preserve">Texas Southern University</t>
  </si>
  <si>
    <t xml:space="preserve">Associate Professor of Management Information Systems (Cybersecurity focus)</t>
  </si>
  <si>
    <t xml:space="preserve">Not stated - fine for Fall 2027 or later; any earlier term needs CPT</t>
  </si>
  <si>
    <t xml:space="preserve">https://jobs.tsu.edu/postings/11719</t>
  </si>
  <si>
    <t xml:space="preserve">Business Administration (Management Information Systems)</t>
  </si>
  <si>
    <t xml:space="preserve">Jesse H. Jones School of Business</t>
  </si>
  <si>
    <t xml:space="preserve">Associate Professor</t>
  </si>
  <si>
    <t xml:space="preserve">No closing date in the search results. One aggregator dates the posting Sep 10, 2026 (Posting Number TSU203775). The search found the official listing at jobs.tsu.edu/postings/11728, not 11719 as recorded. The separate Assistant Professor of MIS posting (TSU203658) closed 03/11/2026, so its date does not apply to this role. Recent posting with no stated close date, so treat it as open until filled.</t>
  </si>
  <si>
    <t xml:space="preserve">nothing found. The search summary says visa sponsorship does not appear in the official portal or the Chronicle/InsideHigherEd listings for this role.</t>
  </si>
  <si>
    <t xml:space="preserve">The results mention no industry or professional work experience requirement. Qualifications listed are a doctorate in MIS or a closely related field, a cybersecurity focus and a professional certification in cybersecurity.</t>
  </si>
  <si>
    <t xml:space="preserve">Doctoral degree with an emphasis in MIS or a closely related discipline from a regionally accredited university. A cybersecurity focus is required. The listing calls for a professional certification in cybersecurity. The rank is Associate Professor (9-month tenure-track, UG and graduate teaching, hiring range $100,176.33-$135,238.00), which usually expects an established research and teaching record.</t>
  </si>
  <si>
    <t xml:space="preserve">MIS line in the Jones School of Business, so 5 regardless of rank. The candidate's ISR R&amp;R and MISQ submission are IS-core. Risks: Associate rank is a reach for an ABD candidate. The required cybersecurity focus is not in the candidate's CV, although the candidate's platform governance and misinformation work and the candidate's cloud/IoT teaching (Connected Systems) are adjacent. Pay is $100-135k; open until filled.</t>
  </si>
  <si>
    <t xml:space="preserve">https://jobs.chronicle.com/job/38034089/associate-professor-of-management-information-systems/; https://careers.insidehighered.com/job/3548227/associate-professor-of-management-information-systems/</t>
  </si>
  <si>
    <t xml:space="preserve">This is a poor fit for an ABD candidate finishing in June 2027 with no cybersecurity certification: the rank is Associate Professor and a cybersecurity certification is listed. Sponsorship is not stated, so it may be possible on OPT and then H-1B, but confirm with TSU HR. The official URL appears to be jobs.tsu.edu/postings/11728, not 11719.</t>
  </si>
  <si>
    <t xml:space="preserve">Villanova University</t>
  </si>
  <si>
    <t xml:space="preserve">Tenure Track Faculty, Management Information Systems (Posting No. 20260076F)</t>
  </si>
  <si>
    <t xml:space="preserve">https://www.disabledperson.com/jobs/75493209-tenure-track-faculty-management-information-systems</t>
  </si>
  <si>
    <t xml:space="preserve">Accounting and Information Systems</t>
  </si>
  <si>
    <t xml:space="preserve">Villanova School of Business</t>
  </si>
  <si>
    <t xml:space="preserve">Assistant Professor or Associate Professor</t>
  </si>
  <si>
    <t xml:space="preserve">PA</t>
  </si>
  <si>
    <t xml:space="preserve">Review of applications began immediately and continues until the position is filled. No fixed closing date was found. The Chronicle ad was posted 2026-09-24 and its listing runs through 2026-11-24. Applications go through jobs.villanova.edu, apparently posting 36407. The search committee chair is Wenhong Luo.</t>
  </si>
  <si>
    <t xml:space="preserve">Nothing found. The search summary says none of the results (Chronicle, PhD Project, HigherEdJobs, DisabledPerson, the Villanova employment site) mention whether Villanova sponsors work visas for this role.</t>
  </si>
  <si>
    <t xml:space="preserve">The qualifications ask only for an academic background: a PhD in IS/MIS or a closely related field and the potential to publish in top peer-reviewed MIS journals. No industry or professional experience is mentioned.</t>
  </si>
  <si>
    <t xml:space="preserve">A PhD in IS/MIS or a closely related field, plus the potential to publish in top MIS journals. Associate rank also requires an established record of publications in top MIS journals and several years of teaching with strong evaluations. The job is teaching undergraduate and graduate MIS courses and doing research in any area of MIS. It starts Fall 2027 at Assistant or Associate rank. Apply online at jobs.villanova.edu.</t>
  </si>
  <si>
    <t xml:space="preserve">MIS tenure-track in the Villanova School of Business = 5. AI courses and an AI-related dissertation preference match the LLM/ML and multimodal methods, AI-in-business teaching and the ISR/MISQ pipeline. Assistant or Associate. Fall 2027 start.</t>
  </si>
  <si>
    <t xml:space="preserve">https://jobs.phdproject.org/jobs/606812899-tenure-track-faculty-management-information-systems-at-villanova-school-of-business; https://www.higheredjobs.com/faculty/details.cfm?JobCode=179265087; https://jobs.chronicle.com/job/38043046/tenure-track-faculty-management-information-systems/</t>
  </si>
  <si>
    <t xml:space="preserve">Strong fit: an MIS tenure-track job open to new PhDs (Assistant rank) starting Fall 2027, which matches the June 2027 PhD. Sponsorship is not stated either way. An older Fall 2026 version of a similar MIS posting (HigherEdJobs, posted 10/08/2025) also exists, so make sure you apply to 20260076F. With a June 2027 PhD, plan to start on OPT and ask HR about H-1B. Apply soon, because review is already under way.</t>
  </si>
  <si>
    <t xml:space="preserve">APPLY NOW - but FIRST CONFIRM it is a current (2027-start) posting</t>
  </si>
  <si>
    <t xml:space="preserve">Western Michigan University</t>
  </si>
  <si>
    <t xml:space="preserve">Assistant Professor - Business Information Systems - Tenure Track (posting F249P)</t>
  </si>
  <si>
    <t xml:space="preserve">https://www.wmujobs.org/postings/3819</t>
  </si>
  <si>
    <t xml:space="preserve">unclear</t>
  </si>
  <si>
    <t xml:space="preserve">Business Information Systems (BIS)</t>
  </si>
  <si>
    <t xml:space="preserve">Haworth College of Business</t>
  </si>
  <si>
    <t xml:space="preserve">MI</t>
  </si>
  <si>
    <t xml:space="preserve">The search summary of wmujobs.org/postings/3819 says the posting page does not state a closing date or review date. No start term was shown, so a 2027 start could not be confirmed.</t>
  </si>
  <si>
    <t xml:space="preserve">not shown (could not confirm a 2027 start)</t>
  </si>
  <si>
    <t xml:space="preserve">The search results for posting 3819 (F249P) do not mention visa sponsorship or H-1B in either direction. Salary is described only as "commensurate with qualifications."</t>
  </si>
  <si>
    <t xml:space="preserve">The search summary of the posting does not mention any industry or professional work experience requirement.</t>
  </si>
  <si>
    <t xml:space="preserve">The minimum requirement is a Ph.D. in Business Computer Information Systems from an AACSB-accredited university, with a dissertation in cybersecurity. Duties are teaching undergraduate and graduate Computer Information Systems and Cybersecurity courses and building a cybersecurity research and publishing program. Applicants submit a cover letter, CV, references, teaching evaluations, a teaching philosophy, a diversity, equity and inclusion statement, a research plan, and transcripts. Rank is Assistant Professor, with one vacancy in the Haworth College of Business, Department of Business Information Systems, on the Kalamazoo main campus. The cybersecurity-dissertation requirement may not fit a Management Science (MIS) PhD unless the candidate's dissertation is in cybersecurity. The results do not say whether ABD applicants are accepted.</t>
  </si>
  <si>
    <t xml:space="preserve">By the field/unit rubric this is an IS line in a business school's BIS department, so it scores 5. In practice the posting requires a cybersecurity dissertation, and round 1 noted it requires a completed PhD. The candidate's dissertation is on the creator economy, platforms and misinformation, and the PhD is expected June 2027, so the candidate likely does not meet the stated hard requirements. Treat this as a low-probability application unless the specialization is flexible.</t>
  </si>
  <si>
    <t xml:space="preserve">https://www.wmujobs.org/postings/search?commit=Search&amp;query_position_type_id%5B%5D=3&amp;sort=225+asc&amp;utf8=%E2%9C%93</t>
  </si>
  <si>
    <t xml:space="preserve">POSSIBLY PRIOR CYCLE: posting F249P / wmujobs.org/postings/3819 has a much lower number than current WMU postings (e.g. 5574) and shows no dates; email the WMU Haworth BIS department to confirm before applying. Direct posting URL: https://www.wmujobs.org/postings/3819 (Assistant Professor - Business Information Systems - Tenure Track, F249P). The search summary called it an open posting. Several signs suggest it is a prior-cycle posting, though none confirms it: (1) the same search turned up a separate 2026 tenure-track opening at wmujobs.org/postings/5574, so current postings appear to carry much higher numbers than 3819; (2) a 2023 AISWorld listing for 'Assistant Professor Computer Information Systems: Cybersecurity at Western Michigan University' (lists.aisnet.org, 2023-08-04, Fall 2024 start) looks like the same cybersecurity line; (3) the posting asks for a DEI statement and shows no deadline or start term. No 2027-start BIS tenure-track posting was found. The candidate should check the wmujobs.org listing directly for its status and any visa sponsorship policy before applying. If it is the 2023-24 line, treat it as closed.</t>
  </si>
  <si>
    <t xml:space="preserve">round 3 board sweep (Oct 15)</t>
  </si>
  <si>
    <t xml:space="preserve">Illinois Institute of Technology</t>
  </si>
  <si>
    <t xml:space="preserve">Assistant / Associate Professor of Business Analytics - Illinois Tech, Mumbai Campus</t>
  </si>
  <si>
    <t xml:space="preserve">late close date (pool / posting end)</t>
  </si>
  <si>
    <t xml:space="preserve">2027-02-06</t>
  </si>
  <si>
    <t xml:space="preserve">CHECK - this job is at Illinois Tech's MUMBAI, INDIA campus (run with Emeritus), not in the US; OPT / H-1B do not apply (industry experience preferred, not required)</t>
  </si>
  <si>
    <t xml:space="preserve">N/A - India-based position</t>
  </si>
  <si>
    <t xml:space="preserve">https://getmereferred.com/job-listing/assistant-associate-professor-of-business-analytics-illinois-tech-mumbai-campus-emeritus-mumbai-10-to-18-years-experience-293a27f9-b38a-4122-a1f2-30227cbfaacb</t>
  </si>
  <si>
    <t xml:space="preserve">Business Analytics</t>
  </si>
  <si>
    <t xml:space="preserve">Stuart School of Business (Illinois Tech Mumbai Campus, operated with Emeritus)</t>
  </si>
  <si>
    <t xml:space="preserve">Assistant / Associate Professor</t>
  </si>
  <si>
    <t xml:space="preserve">IL</t>
  </si>
  <si>
    <t xml:space="preserve">No official closing date was found for this Business Analytics role. 2027-02-06 is only the job board's validThrough date from the earlier search. A different Mumbai post, Assistant Professor of Business Administration on Times Higher Education, shows a closing date of 28 Nov 2026. That date may not apply to the analytics role.</t>
  </si>
  <si>
    <t xml:space="preserve">not stated in results</t>
  </si>
  <si>
    <t xml:space="preserve">The search found nothing on visa sponsorship or work authorization for this role. The job is at the Illinois Tech Mumbai campus in India, so US H-1B sponsorship would not apply to it. The candidate would need Indian work authorization, which no listing mentions.</t>
  </si>
  <si>
    <t xml:space="preserve">The Grapevine listing summary says practical industry background is preferred. The getmereferred URL also contains '10-to-18-years-experience', but that appears to be the job board's own tag, not posting text. The candidate has no industry experience.</t>
  </si>
  <si>
    <t xml:space="preserve">Required: a PhD in a relevant business discipline, strong teaching skills and the ability to publish in academic journals. Preferred: interest in AI, data visualization and statistical modeling. The Emeritus posting says the hire is expected to do research with school faculty in Chicago and Mumbai. Listings show the employer as Emeritus, which runs the campus with Illinois Tech, not Illinois Tech in Chicago.</t>
  </si>
  <si>
    <t xml:space="preserve">This is a business-school business analytics line, which the rubric scores 4. It matches the candidate's ML and LLM methods, econometrics and causal inference, multimodal data work, and teaching interests in ML and data analytics and Python for business (TA for Machine Learning for Business). Big caveats: the job is at the Mumbai, India campus, not in the US, so F-1/OPT and US sponsorship do not apply and Indian work authorization would be needed. The research expectations and tenure status come only from job-board copies. The aggregator tags the listing '10 to 18 years experience', which the candidate, a 2027 PhD graduate with no industry experience, does not have.</t>
  </si>
  <si>
    <t xml:space="preserve">https://pitchmeai.com/jobs/emeritus/professor-of-business-administration-ddu15tmpwy; https://www.timeshighereducation.com/unijobs/listing/416030/assistant-professor-of-business-administration</t>
  </si>
  <si>
    <t xml:space="preserve">Only aggregator listings were found (getmereferred, and Grapevine at https://www.grapevine.in/tal/jobs/952be25d-2b78-4b64-9222-4da022b1ce3b). Neither is an official Illinois Tech HR posting. The Stuart School's openings page (https://www.iit.edu/stuart/about/open-faculty-positions-stuart) came up in results but could not be checked. Tenure status differs between listings: the Emeritus text calls this role tenure-track, but other Mumbai postings from the same school are non-tenure-track teaching jobs, so the candidate should confirm before applying. The job is in Mumbai, India, not the US, so it would not lead to US H-1B or OPT employment. It does not fit the candidate's plan for a long-term US job.</t>
  </si>
  <si>
    <t xml:space="preserve">round 3 (Oct 15)</t>
  </si>
  <si>
    <t xml:space="preserve">Augusta University</t>
  </si>
  <si>
    <t xml:space="preserve">Open Rank Faculty in Artificial Intelligence &amp; Health</t>
  </si>
  <si>
    <t xml:space="preserve">https://careers.hprod.onehcm.usg.edu/psc/careers/CAREERS/HRMS/c/HRS_HRAM_FL.HRS_CG_SEARCH_FL.GBL?Page=HRS_APP_JBPST_FL&amp;Action=U&amp;FOCUS=Applicant&amp;SiteId=12000&amp;JobOpeningId=290816&amp;PostingSeq=1</t>
  </si>
  <si>
    <t xml:space="preserve">Department of Artificial Intelligence &amp; Health, Medical College of Georgia (the candidate list says Hull College of Business; search results say it is in the medical college)</t>
  </si>
  <si>
    <t xml:space="preserve">James M. Hull College of Business</t>
  </si>
  <si>
    <t xml:space="preserve">Open rank (Assistant / Associate / Full Professor)</t>
  </si>
  <si>
    <t xml:space="preserve">No closing or priority date appears in the search results. Aggregator listings for this posting and related Augusta postings show dates from September and October 2025, which is about a year ago, so the posting may be stale or may have been reposted (HigherEdJobs also has a related listing). Check the official USG OneHCM careers page (JobOpeningId 290816) before applying.</t>
  </si>
  <si>
    <t xml:space="preserve">Nothing found. The search results do not mention visa or H-1B sponsorship or work-authorization language for this role.</t>
  </si>
  <si>
    <t xml:space="preserve">Industry experience is not listed as a requirement. The duties include partnering with clinical and industry groups, but that is collaboration, not prior employment. The 'Required Qualifications' section was not visible in the snippets.</t>
  </si>
  <si>
    <t xml:space="preserve">Open rank (Assistant, Associate or Full), tenure track. Duties are AI research in healthcare (for example clinical decision support and medical imaging), teaching AI and health to medical students, residents and interdisciplinary learners, and seeking external grants. Applicants upload a CV, research statement, references and other materials as one document. The required qualifications (degree field, PhD-by-start) were not visible in the results.</t>
  </si>
  <si>
    <t xml:space="preserve">AI line housed in the Hull College of Business (per the candidate's own IS job-board list), so it scores 4 under the learned rubric (business-school AI/analytics line, not an IS-department line). Fits the candidate's ML/LLM and multimodal-data methods and AI-in-business teaching interest; the health application area is new to the candidate. Open rank includes Assistant. Dates were not visible in search results, so confirm the posting is current before applying.</t>
  </si>
  <si>
    <t xml:space="preserve">https://www.higheredjobs.com/faculty/details.cfm?JobCode=179243504; https://careers.insidehighered.com/job/3406524/open-rank-faculty-in-artificial-intelligence-and-health/</t>
  </si>
  <si>
    <t xml:space="preserve">The department is Artificial Intelligence &amp; Health in the Medical College of Georgia, not the Hull College of Business, so a PhD in MIS may be a weaker fit than for a business-school role. The posting appears to date from fall 2025, so whether it is still open is unclear. Sources: careers.insidehighered.com/job/3406524 and higheredjobs.com JobCode=179243504.</t>
  </si>
  <si>
    <t xml:space="preserve">Assistant Professor of Data Analytics/Supply Chain/Business Administration</t>
  </si>
  <si>
    <t xml:space="preserve">MIXED - choose the Fall 2027 start option; an earlier start needs CPT / pre-completion OPT</t>
  </si>
  <si>
    <t xml:space="preserve">https://www.higheredjobs.com/faculty/details.cfm?JobCode=179415581</t>
  </si>
  <si>
    <t xml:space="preserve">Department of Business Administration</t>
  </si>
  <si>
    <t xml:space="preserve">Review of applications begins immediately and continues until the position is filled; there is no fixed deadline. The HigherEdJobs listing (JobCode 179415581) and Chronicle listing (37992085, posted May 21, 2026) still show up in search on 2026-10-14. Neither result shows a closure. The application packet is a Hampton faculty application, a teaching commitment letter, a CV and three letters of recommendation on letterhead.</t>
  </si>
  <si>
    <t xml:space="preserve">'Fall' (the year is cut off in the HigherEdJobs snippet). Given the April/May 2026 posting dates, it is probably Fall 2026, possibly rolling to Fall 2027. Not confirmed.</t>
  </si>
  <si>
    <t xml:space="preserve">nothing found. Neither the HigherEdJobs nor the Chronicle listing mentions visa sponsorship or work authorization.</t>
  </si>
  <si>
    <t xml:space="preserve">No industry experience requirement appears. Preference goes to 'candidates with experience and knowledge in supply chain, operations management business, data analytics and/or related areas'. That is subject-area experience, not explicitly industry experience.</t>
  </si>
  <si>
    <t xml:space="preserve">A PhD in Business Administration, Management, Supply Chain, Data Analytics or a related field is required for appointment at the Assistant Professor rank. Duties include academic advising, recruitment to grow department enrollment, high-quality research and grant writing. Salary is $90,000-$100,000 depending on qualifications.</t>
  </si>
  <si>
    <t xml:space="preserve">Business-school line led by data analytics (with SCM/OM/business administration), which scores 4. Fit: Python, ML analytics teaching and econometrics. Risks: the start may be Fall 2026 (possibly filled); tenure status not stated; SCM duties fall outside the CV.</t>
  </si>
  <si>
    <t xml:space="preserve">https://jobs.chronicle.com/job/37992085/assistant-professor-of-data-analytics-supply-chain-business-administration/; https://home.hamptonu.edu/hr/posts-faculty/2/; https://home.hamptonu.edu/hr/faculty-opportunities/; https://www.indeed.com/cmp/Hampton-University/jobs/q-Faculty</t>
  </si>
  <si>
    <t xml:space="preserve">Tenure status is not stated, so the tenure-track classification is assumed from the Assistant Professor rank and the research and grant-writing duties. The start is 'Fall' with the year not shown, so it may be Fall 2026 or Fall 2027. The PhD seems to be required at appointment, and yours is expected June 2027, so ask about the start year. Your MIS/analytics background fits the data analytics part of the role.</t>
  </si>
  <si>
    <t xml:space="preserve">Tenure Track Faculty, Accounting and Information Systems</t>
  </si>
  <si>
    <t xml:space="preserve">https://jobs.chronicle.com/job/38022740/tenure-track-faculty-accounting-and-information-systems/</t>
  </si>
  <si>
    <t xml:space="preserve">Assistant Professor (primary focus); experienced Assistant Professors also encouraged</t>
  </si>
  <si>
    <t xml:space="preserve">Review began immediately and continues until the position is filled. The Chronicle ad was posted 2026-08-06 and its listing expired 2026-10-06, so it is no longer active. The Villanova employment site, possibly posting 35866, may still accept applications, but this was not confirmed.</t>
  </si>
  <si>
    <t xml:space="preserve">Nothing found. The search results did not surface any visa sponsorship information for this posting.</t>
  </si>
  <si>
    <t xml:space="preserve">Not verified. The listing mentions 'professional experience', but the retrieved snippet cuts off before saying whether it is required or preferred. Earlier evidence says a CPA is preferred, which is a professional credential. It looks preferred rather than required, but check the full posting.</t>
  </si>
  <si>
    <t xml:space="preserve">A PhD is required, along with some relevant teaching experience and the potential to publish in high-quality accounting journals. Teaching centers on the undergraduate financial and managerial accounting series, and the posting values a record of strong teaching that brings AI and emerging technologies into courses. A CPA is preferred, according to earlier evidence. The main focus is Assistant rank, and new graduates are encouraged. Starts Fall 2027.</t>
  </si>
  <si>
    <t xml:space="preserve">The learned rubric names Villanova AIS lines as 4. AI and emerging technologies run through the coursework, which ties to the candidate's AI and ML teaching. Risk: the description is accounting-centric and the candidate has no CPA or accounting PhD. The parallel MIS posting is the stronger fit.</t>
  </si>
  <si>
    <t xml:space="preserve">Weak fit for an MIS PhD: this is an accounting-focused tenure-track job (financial and managerial accounting courses, accounting journals, CPA preferred). The Chronicle ad has expired, so it is unclear whether it is still open. Sponsorship is not stated. The separate MIS posting r106 is the better target at Villanova.</t>
  </si>
  <si>
    <t xml:space="preserve">DEADLINE PASSED - confirm portal still open, else skip</t>
  </si>
  <si>
    <t xml:space="preserve">Arkansas State University</t>
  </si>
  <si>
    <t xml:space="preserve">Assistant Professor 9 Mo (business analytics / operations management / supply chain)</t>
  </si>
  <si>
    <t xml:space="preserve">deadline</t>
  </si>
  <si>
    <t xml:space="preserve">2026-09-30</t>
  </si>
  <si>
    <t xml:space="preserve">https://www.astate.edu/college/business/faculty-staff/management-marketing/</t>
  </si>
  <si>
    <t xml:space="preserve">Not stated. The college has four departments, including Information Systems &amp; Business Analytics and Management, Marketing &amp; Supply Chain. Given the BA/OM/SCM teaching duties, the line likely sits in one of those two.</t>
  </si>
  <si>
    <t xml:space="preserve">Neil Griffin College of Business (presumed; the posting snippet did not name the college)</t>
  </si>
  <si>
    <t xml:space="preserve">AR</t>
  </si>
  <si>
    <t xml:space="preserve">The only date comes from the Indeed listing, which encouraged applicants to apply by September 30, 2026. This reads as a priority or full-consideration date, and it has already passed. No firm closing date or 'open until filled' wording was seen. An extended search on 2026-10-14 found no official Arkansas State HR posting to confirm whether applications are still accepted. The results showed only faculty directory pages for the Neil Griffin College of Business, including Management, Marketing &amp; Supply Chain and Information Systems &amp; Business Analytics. Late applications may be possible, but the candidate should check the A-State HR job board or contact the college.</t>
  </si>
  <si>
    <t xml:space="preserve">Spring 2027 or Fall 2027</t>
  </si>
  <si>
    <t xml:space="preserve">nothing found. The Indeed snippet and the extended search showed no wording about visa or H-1B sponsorship, and no official posting text was found.</t>
  </si>
  <si>
    <t xml:space="preserve">The available snippet lists only teaching duties (business analytics, operations management, or supply chain courses) and pay ($100,000-$110,000 per 9 months, commensurate with education and experience). No industry or professional experience requirement was seen. The full qualifications section was not available.</t>
  </si>
  <si>
    <t xml:space="preserve">The full qualifications were not visible. It is a 9-month, full-time Assistant Professor role starting Spring 2027 or Fall 2027. A doctorate in a relevant field is presumably expected, but the snippet did not say so or set a degree-completion deadline. With a PhD expected in June 2027, the candidate fits the Fall 2027 start, not Spring 2027.</t>
  </si>
  <si>
    <t xml:space="preserve">Business-analytics/OM/SCM line in the business college, which has an IS &amp; Business Analytics department. Business-school analytics lines score 4. Fit: ML for Business TA, Python and analytics teaching, econometrics/time-series methods. Risks: home department and tenure status unconfirmed; possible Spring 2027 start comes before the PhD; OM/SCM duties sit outside the CV.</t>
  </si>
  <si>
    <t xml:space="preserve">https://www.indeed.com/q-arkansas-state-university-jobs.html; https://www.indeed.com/cmp/Arkansas-State-University; https://www.indeed.com/q-arkansas-state-university-l-jonesboro,-ar-jobs.html</t>
  </si>
  <si>
    <t xml:space="preserve">Tenure-track status is presumed from the rank and was not explicitly stated. The verification search found no official A-State posting, so details rely on the Indeed snippet only. Sponsorship is not stated either way. A Fall 2027 start could be covered by OPT after the June 2027 PhD, and a regional public university like A-State generally can file H-1B petitions, but this posting does not confirm it. The priority date has passed. Sources: https://www.astate.edu/college/business/faculty-staff/management-marketing/ ; https://www.astate.edu/colleges/neil-griffin-college-of-business/information-systems-and-business-analytics.html ; https://www.indeed.com/cmp/Arkansas-State-University</t>
  </si>
  <si>
    <t xml:space="preserve">UPCOMING - due after Oct 18 (submit early)</t>
  </si>
  <si>
    <t xml:space="preserve">Bowling Green State University</t>
  </si>
  <si>
    <t xml:space="preserve">Assistant Professor of Business Analytics</t>
  </si>
  <si>
    <t xml:space="preserve">2026-11-30</t>
  </si>
  <si>
    <t xml:space="preserve">https://www.bgsu.edu/business/faculty-and-staff/job-opportunities.html</t>
  </si>
  <si>
    <t xml:space="preserve">Department of Business Analytics, Economics, and Information Systems (posting's department field reads 'Economics Dept - Faculty')</t>
  </si>
  <si>
    <t xml:space="preserve">Allen W. and Carol M. Schmidthorst College of Business (Division: Dean of Business)</t>
  </si>
  <si>
    <t xml:space="preserve">Job BGSU01995: opening date 10/02/2026, closing date 11/30/2026 11:59 PM Eastern (a ZipRecruiter copy of the BGSU posting shows these dates). Apply through BGSU Office of Human Resources (NeoEd). The posting is open as of 2026-10-14. Salary depends on qualifications. Location: Main Campus, Bowling Green, OH.</t>
  </si>
  <si>
    <t xml:space="preserve">Not stated (doctorate required by the starting date; presumably August/Fall 2027)</t>
  </si>
  <si>
    <t xml:space="preserve">The search results showed no visa or sponsorship statement in the BGSU01995 posting. BGSU's university-wide sponsorship page (bgsu.edu/international-programs-and-partnerships/hiring/sponsorship.html) says the immigrant (permanent residency) track is most appropriate for faculty appointed to a tenured or tenure-track position. It also says International Programs &amp; Partnerships must be contacted for visa verification before an international hire is started. Third-party H-1B trackers (Ellis, MyVisaJobs) report BGSU filed about 19 H-1B LCAs in 2025. This is a positive signal, but the posting itself states nothing.</t>
  </si>
  <si>
    <t xml:space="preserve">The posting text found in the search results mentions no industry or professional experience requirement. It focuses on a research agenda and the doctorate.</t>
  </si>
  <si>
    <t xml:space="preserve">Doctorate in business analytics, statistics, data science, or a closely related field by the start date; an MIS/Management Science PhD expected June 2027 would likely count as closely related, and the start date is presumably Fall 2027. Active research agenda in business analytics, data visualization, or AI applied to business, aimed at publishing in high-quality journals. The department is Business Analytics, Economics, and Information Systems; the posting's department field reads 'Economics Dept - Faculty'.</t>
  </si>
  <si>
    <t xml:space="preserve">Business-analytics tenure-track line in the Business Analytics, Economics &amp; IS department, which scores 4. Data visualization and AI for business match the ML for Business (Python) TA role, the ML/LLM and multimodal methods, and the AI-in-business teaching interest. Deadline 2026-11-30.</t>
  </si>
  <si>
    <t xml:space="preserve">https://www.bgsu.edu/provost/resources/employment-recruitment/faculty-employment-opportunities.html; https://www.ziprecruiter.com/co/bowling-green-state-university/Jobs/Assistant-Professor/--in-Ohio</t>
  </si>
  <si>
    <t xml:space="preserve">Good fit for an MIS/analytics PhD candidate with no industry experience. Tenure-track at a university whose policy supports sponsoring tenure-track faculty, so OPT can cover the start and then H-1B/PR. The deadline of 11/30/2026 is after 10/18/2026. The third-party listing text was partly garbled, so check details on the official BGSU NeoEd posting.</t>
  </si>
  <si>
    <t xml:space="preserve">Rutgers University-Newark</t>
  </si>
  <si>
    <t xml:space="preserve">Assistant Professor, tenure-track, Accounting and Information Systems</t>
  </si>
  <si>
    <t xml:space="preserve">2026-12-31</t>
  </si>
  <si>
    <t xml:space="preserve">https://jobs.chronicle.com/job/38031656/assistant-professor-tenure-track-accounting-and-information-systems/?TrackID=10</t>
  </si>
  <si>
    <t xml:space="preserve">Rutgers Business School at Newark and New Brunswick</t>
  </si>
  <si>
    <t xml:space="preserve">NJ</t>
  </si>
  <si>
    <t xml:space="preserve">Posting 26FA0683 opened 09/01/2026 and closes 12/31/2026 (jobs.rutgers.edu/postings/280198). No earlier priority or review date appeared in the results.</t>
  </si>
  <si>
    <t xml:space="preserve">2027-2028 academic year</t>
  </si>
  <si>
    <t xml:space="preserve">nothing found. The search summary says no result addressed visa sponsorship, and the snippets of the official jobs.rutgers.edu posting showed no eligibility or work-authorization language.</t>
  </si>
  <si>
    <t xml:space="preserve">The minimum qualification is a Ph.D. or ABD. The duties are research in accounting and information systems, plus teaching and service. No industry or practitioner experience is mentioned.</t>
  </si>
  <si>
    <t xml:space="preserve">Ph.D. or ABD (minimum). 12-credit annual teaching load, with courses on both the Newark and New Brunswick campuses. Start AY 2027-2028. Salary $195,000-$215,000.</t>
  </si>
  <si>
    <t xml:space="preserve">This is a tenure-track research line in an Accounting &amp; Information Systems department of a business school, which scores 4 under the rubric. The candidate's IS research (platforms, misinformation, ML/LLMs) fits the IS side, and an ABD with a June 2027 PhD meets the stated requirement. The department is accounting-centered, though, and may prefer accounting-information-systems or accounting-analytics research over the candidate's platform/creator-economy work.</t>
  </si>
  <si>
    <t xml:space="preserve">https://jobs.chronicle.com/employer/8f5d362e-a6b8-4697-8831-5b9818496cc6/rutgers-business-school-at-newark-and-new-brunswick</t>
  </si>
  <si>
    <t xml:space="preserve">SAME POSTING as the Rutgers-New Brunswick AIS tenure-track line already in your fit 4-5 list (Rutgers Business School spans Newark and New Brunswick) - apply once. The department is Accounting and Information Systems, and the research area is 'Accounting, Information Systems', so an MIS candidate fits the IS side. ABD is accepted, which fits a June 2027 PhD. An AY 2027-28 start lines up with post-completion OPT, but nothing says whether Rutgers will sponsor an H-1B. Ask the department or Rutgers HR.</t>
  </si>
  <si>
    <t xml:space="preserve">East Texas A&amp;M University</t>
  </si>
  <si>
    <t xml:space="preserve">Open Rank Professor - Management Science</t>
  </si>
  <si>
    <t xml:space="preserve">https://tamus.wd1.myworkdayjobs.com/System-wide_External</t>
  </si>
  <si>
    <t xml:space="preserve">MGT, MKT &amp; MGT SCI (Management, Marketing &amp; Management Science)</t>
  </si>
  <si>
    <t xml:space="preserve">Open Rank. Specific ranks, and whether Assistant level is included, are not stated in any result.</t>
  </si>
  <si>
    <t xml:space="preserve">The Inside Higher Ed employer page for East Texas A&amp;M University (Commerce, TX) still lists 'Open Rank Professor - Management Science' (Dept. MGT, MKT &amp; MGT SCI, salary commensurate) as posted about three days before the page was cached. That points to an active posting that was recently refreshed or re-posted, since earlier snippets dated it to about July 2026. No closing date, review-start date or 'open until filled' wording appears in the results, so treat it as rolling and apply soon. Start date is not stated. It is probably AY 2027-28, but that is not confirmed.</t>
  </si>
  <si>
    <t xml:space="preserve">Not stated. Likely AY 2027-28, but the start could also be Spring 2027, which would be too early for a June 2027 PhD.</t>
  </si>
  <si>
    <t xml:space="preserve">The visible listing gives only the title, department, location (Commerce, TX) and 'salary commensurate'. The search found no visa or H-1B sponsorship wording; the full posting text (Texas A&amp;M System Workday, tamus.wd1.myworkdayjobs.com/System-wide_External) did not appear in the results.</t>
  </si>
  <si>
    <t xml:space="preserve">No qualifications text was visible in the search results, and no industry experience requirement or preference appears.</t>
  </si>
  <si>
    <t xml:space="preserve">Qualifications are not visible in the results. The open-rank title usually means a terminal degree in Management Science or a related field plus a research record suited to the rank. Whether an ABD applicant or one with a degree expected June 2027 is acceptable at Assistant level is not stated. Tenure status, teaching load and salary range are not stated.</t>
  </si>
  <si>
    <t xml:space="preserve">Management Science line (3) in a combined Management/Marketing/Management Science department. It matches the candidate's Management Science PhD title, but any IS emphasis is unconfirmed. Risks: ranks and start not stated, and a Spring 2027 start would come before the PhD.</t>
  </si>
  <si>
    <t xml:space="preserve">https://www.etamu.edu/human-resources/employment/; https://www.etamu.edu/college-of-business/; https://careers.insidehighered.com/employer/1a4475c0-4074-45f2-aed6-110161f1d5dd/east-texas-a-and-m-university</t>
  </si>
  <si>
    <t xml:space="preserve">This is an open-rank Management Science post at an R2 school (Texas A&amp;M System), and it fits the candidate's MS/MIS field. Classed as research tenure-track from the open-rank professor title, but the results do not explicitly state tenure-track status. Before applying, the candidate should check three things on the Texas A&amp;M System Workday posting: (1) that Assistant rank is included and ABD or degree-by-start applicants are accepted, (2) the start date, since a Spring 2027 start would come before the June 2027 PhD, and (3) the visa sponsorship policy. The candidate could ask HR directly about H-1B sponsorship. The search also returned unrelated Texas A&amp;M (College Station) postings, which were not merged. Sources: https://careers.insidehighered.com/employer/1a4475c0-4074-45f2-aed6-110161f1d5dd/east-texas-a-and-m-university</t>
  </si>
  <si>
    <t xml:space="preserve">Embry-Riddle Aeronautical University (Daytona Beach)</t>
  </si>
  <si>
    <t xml:space="preserve">Tenure Track Faculty Position with a focus on Big Data Analytics and Aviation Safety in the School (title truncated in listing)</t>
  </si>
  <si>
    <t xml:space="preserve">LIKELY PRIOR CYCLE - posted Apr 2026 for a Fall 2026 start</t>
  </si>
  <si>
    <t xml:space="preserve">https://jobs.chronicle.com/job/37980105/tenure-track-faculty-position-with-a-focus-on-big-data-analytics-and-aviation-safety-in-the-school/</t>
  </si>
  <si>
    <t xml:space="preserve">Not shown in results</t>
  </si>
  <si>
    <t xml:space="preserve">Not stated in results. The title ends 'in the School...' and the focus is aviation safety, which points to an aviation-side school, not the O'Maley College of Business</t>
  </si>
  <si>
    <t xml:space="preserve">Tenure-track (rank not shown)</t>
  </si>
  <si>
    <t xml:space="preserve">FL</t>
  </si>
  <si>
    <t xml:space="preserve">Non-business IS unit</t>
  </si>
  <si>
    <t xml:space="preserve">The search results show no fixed closing date. One version of the listing says review of applications 'will begin immediately and will continue until the position is filled.' The results give an anticipated start of Fall 2026, which is now in progress (today is 2026-10-15). The position was posted around Apr 23-24, 2026, so it is most likely a prior-cycle search that may already be filled. Requisition R311216 could not be confirmed in the results.</t>
  </si>
  <si>
    <t xml:space="preserve">Not shown. An April 2026 posting likely targeted Fall 2026, which would make it prior-cycle; unconfirmed</t>
  </si>
  <si>
    <t xml:space="preserve">None of the search results (Chronicle, HigherEdJobs, ZipRecruiter or freehire listings) mention visa sponsorship, H-1B or work authorization. The official ERAU Workday posting would need to be checked.</t>
  </si>
  <si>
    <t xml:space="preserve">The listing requires 'relevant experience in aviation safety, big data analytics, or ML/AI', but the results do not say this has to be industry experience. The preferred qualifications cover teaching and research experience in aviation safety, big data, analytics, advanced statistics and machine learning. The results do not mention industry or practitioner work experience.</t>
  </si>
  <si>
    <t xml:space="preserve">Required: a doctorate, plus relevant experience in aviation safety, big data analytics or ML/AI. Preferred: a Ph.D. in a closely related field, and teaching and research experience in aviation safety, big data, analytics, advanced statistics and machine learning. Duties: teaching at the doctoral and master's levels, and meeting ongoing scholarly growth requirements that include externally funded research. Application materials (per one listing): a CV, a cover letter, an unofficial Ph.D. transcript, a one-page teaching philosophy and a one-page research plan. Current ERAU employees apply through the Employee Hub Central application in Workday.</t>
  </si>
  <si>
    <t xml:space="preserve">A data-analytics and ML/AI tenure-track line in a non-business unit is IS-adjacent (rubric 3). The candidate's econometrics, ML/LLM and multimodal-data skills match the analytics side. The strong preference for aviation-safety expertise is a weak match, since the candidate's research is on the creator economy, platforms and misinformation. It is also likely a prior-cycle posting.</t>
  </si>
  <si>
    <t xml:space="preserve">LIKELY PRIOR CYCLE: the ERAU aviation-analytics tenure-track postings were listed in April 2026 with a Fall 2026 start; apply only if ERAU confirms the line is still open for 2027. The posting exists. The full title, per HigherEdJobs and freehire, is 'Tenure Track Faculty Position with a focus on Big Data Analytics and Aviation Safety in the School of Graduate Studies', on the Daytona Beach Campus. The HigherEdJobs listing is https://www.higheredjobs.com/faculty/details.cfm?JobCode=179316689 and the Chronicle listing is https://jobs.chronicle.com/job/37980105/tenure-track-faculty-position-with-a-focus-on-big-data-analytics-and-aviation-safety-in-the-school/. A related HigherEdJobs title points to the School of Graduate Studies in the College of Aviation, not the business college. The posting is NOT current-cycle: the anticipated start of Fall 2026 has already passed, and the candidate's PhD is expected June 2027, so the timing does not fit unless ERAU re-posts the role for 2027. The aviation-safety domain is also only a partial fit for an MIS PhD, although big data analytics and ML/AI overlap. Sponsorship is not addressed in the results; the candidate should confirm it on the ERAU Workday careers site.</t>
  </si>
  <si>
    <t xml:space="preserve">Tennessee Technological University</t>
  </si>
  <si>
    <t xml:space="preserve">Assistant Professor (tenure-track), Department of Decision Sciences and Management</t>
  </si>
  <si>
    <t xml:space="preserve">https://www.higheredjobs.com/institution/search.cfm?University=Tennessee+Tech+University</t>
  </si>
  <si>
    <t xml:space="preserve">Department of Decision Sciences and Management</t>
  </si>
  <si>
    <t xml:space="preserve">TN</t>
  </si>
  <si>
    <t xml:space="preserve">The verification search found no closing date or review start date. Tennessee Tech's official careers board (Oracle CX) lists the full-time tenure-track Assistant Professor job in Decision Sciences and Management as posted 09/21/2026, with an August 1, 2027 start, in Cookeville, TN. Nothing indicates the posting has closed. The search snippet did not include the qualifications or the deadline, so the candidate should check the full posting.</t>
  </si>
  <si>
    <t xml:space="preserve">The search results contain no wording about visa or H-1B sponsorship. The only employer policy language they show is the equal-opportunity statement. The candidate should confirm sponsorship with the department or with Tennessee Tech HR.</t>
  </si>
  <si>
    <t xml:space="preserve">The results show no industry or practitioner experience requirement for this posting.</t>
  </si>
  <si>
    <t xml:space="preserve">The 2027 posting's qualifications were not in the search results. It is reasonable to expect a doctorate in a relevant business field. An earlier posting from the same department (HigherEdJobs position 176030, December 2024, for an August 1, 2025 start) said College of Business faculty with doctorates must maintain enough scholarly activity to count as Scholarly Academics for AACSB. That probably still applies, but it comes from the old posting, not the 2027 one.</t>
  </si>
  <si>
    <t xml:space="preserve">The Decision Sciences &amp; Management department in a College of Business usually houses IS, business analytics and OM, but this line's area is not stated, so it gets a provisional 3. It would rise to 4-5 if the line is IS or analytics and fall to 0-1 if it is general management. The candidate's MIS-concentration Management Science PhD and the candidate's teaching in Python/ML and IT Management fit the decision-sciences side. Assistant TT, start 2027-08-01, which matches the candidate's ABD timing. Confirm the field on the full posting.</t>
  </si>
  <si>
    <t xml:space="preserve">https://fa-eygi-saasfaprod1.fa.ocs.oraclecloud.com/hcmUI/CandidateExperience/en/sites/CX_1/jobs</t>
  </si>
  <si>
    <t xml:space="preserve">This is a full-time tenure-track Assistant Professor position at an R2 school with an AACSB-accredited business college. The department covers decision sciences and management, which may include MIS, operations, and analytics, so the candidate's Management Science (MIS) PhD could fit. The candidate is ABD with an expected June 2027 completion, which comes before the August 1, 2027 start. The candidate could begin on post-completion OPT, but sponsorship is not stated and needs to be confirmed. Sources: https://fa-eygi-saasfaprod1.fa.ocs.oraclecloud.com/hcmUI/CandidateExperience/en/sites/CX_1/jobs ; https://www.higheredjobs.com/institution/search.cfm?University=Tennessee+Tech+University ; https://jobs.tntech.edu/postings/search?utf8=%E2%9C%93&amp;query_position_type_id=3&amp;query_organizational_tier_3_id=any&amp;commit=Search</t>
  </si>
  <si>
    <t xml:space="preserve">Assistant Professor - School of Information - Ethical AI, Information Generation &amp; Retrieval, and ... (title truncated in results)</t>
  </si>
  <si>
    <t xml:space="preserve">2026-11-19</t>
  </si>
  <si>
    <t xml:space="preserve">Not this posting - you applied to San Jose State University on 2026-09-30 for another line; confirm if you also want this one</t>
  </si>
  <si>
    <t xml:space="preserve">https://careers.insidehighered.com/job/3557057/assistant-professor-school-of-information-ethical-ai-information-generation-and-retrieval-a-/</t>
  </si>
  <si>
    <t xml:space="preserve">School of Information (iSchool)</t>
  </si>
  <si>
    <t xml:space="preserve">College of Information, Data and Society</t>
  </si>
  <si>
    <t xml:space="preserve">The search summary says applications are due November 19, 2026, accepted until the position is filled or closed, with a target start of August 17, 2027. These dates may be borrowed from the sibling Youth Information Ecosystems posting, because ischools.org advertised 'Two Tenure-Track Assistant Professor Positions' at SJSU together. The candidate should confirm them on CSU Careers.</t>
  </si>
  <si>
    <t xml:space="preserve">Not stated (likely August 2027)</t>
  </si>
  <si>
    <t xml:space="preserve">None of the search results mention visa or immigration sponsorship for this posting.</t>
  </si>
  <si>
    <t xml:space="preserve">No industry-experience requirement appears in the results.</t>
  </si>
  <si>
    <t xml:space="preserve">The full title on the DreamWork/CSU Careers mirror is 'Assistant Professor - School of Information - Ethical AI, Information Generation &amp; Retrieval, and Knowledge Systems'. Required: a doctorate in library and information science or a closely related field (listed fields include Information Science, Informatics, Information Studies, Human-Computer Interaction, Computer Science, Data Science and Knowledge Management). Also required: evidence of scholarship in areas such as AI and intelligent information retrieval systems, critical technology studies, and data stewardship and governance, plus awareness of and sensitivity to the educational goals of a socially and economically diverse student population. The role is on-site in San Jose. Salary is $100,000-$110,000 for the academic year.</t>
  </si>
  <si>
    <t xml:space="preserve">iSchool applied/human-centered AI line (rubric 3: IS-adjacent line outside a business school). It fits the candidate's ML and LLM methods, multimodal (text/audio/video) data work, and research on misinformation and platform governance, which bears on ethical AI and generated content. The 'information retrieval' part may expect a more technical IR/CS background than an MIS PhD provides. Rank and timing risks are low for an ABD finishing in June 2027 if the start is August 2027, but the deadline and start are unconfirmed.</t>
  </si>
  <si>
    <t xml:space="preserve">https://jobs.chronicle.com/job/38045696/assistant-professor-school-of-information-ethical-ai-information-generation-and-retrieval-and/</t>
  </si>
  <si>
    <t xml:space="preserve">This is a moderate fit. A Management Science (MIS) PhD is not among the listed fields, so the candidate would need to argue that MIS is a 'closely related field' through AI, information retrieval or data-governance research. The full required and preferred qualifications were not visible in the results.</t>
  </si>
  <si>
    <t xml:space="preserve">second search (B)</t>
  </si>
  <si>
    <t xml:space="preserve">URGENT - due by Oct 18</t>
  </si>
  <si>
    <t xml:space="preserve">Assistant Professor, Marketing &amp; Business Analytics - Business Analytics</t>
  </si>
  <si>
    <t xml:space="preserve">2026-10-16</t>
  </si>
  <si>
    <t xml:space="preserve">https://jobs.chronicle.com/job/38038907/assistant-professor-marketing-and-business-analytics-business-analytics/</t>
  </si>
  <si>
    <t xml:space="preserve">Marketing &amp; Business Analytics</t>
  </si>
  <si>
    <t xml:space="preserve">Listings show 'Application Deadline: October 16, 2026, with applications accepted until filled or closed' (CSU Careers job 561936; Inside Higher Ed 3551689; Chronicle 38038907). The deadline is tomorrow (today is 2026-10-15), so the candidate should apply right away. Target start date is August 17, 2027.</t>
  </si>
  <si>
    <t xml:space="preserve">The 561936 listing excerpts do not mention visa sponsorship. An older 2019 SJSU Business Analytics posting (a different search) said 'employment is contingent upon proof of eligibility to work in the United States'. An immigration-filing aggregator (immihelp) lists a 2023 H-1B filing by San Jose State University for an Assistant Professor position at $90,000, so SJSU has sponsored H-1B for faculty before. That does not confirm sponsorship for this role.</t>
  </si>
  <si>
    <t xml:space="preserve">No industry-experience requirement appears in the results. The posting expects 'interest in working with Silicon Valley professionals', which is about engagement, not prior employment.</t>
  </si>
  <si>
    <t xml:space="preserve">A doctorate from an accredited university, fully awarded by the date of appointment and preferably by May 31, 2027. Evidence of teaching excellence or its potential. A scholarly publication record or the potential for one. Ability to engage a diverse, largely first-generation student body. Preferred: candidates whose research incorporates AI get priority. The work may only be performed in California and requires an on-campus presence. The offer depends on background and reference checks. Salary is $135,000-$141,750.</t>
  </si>
  <si>
    <t xml:space="preserve">Marketing line (job 561937) in AI marketing / AI in marketing analytics; overlaps the candidate's AI/ML methods and influencer research, but it is a marketing line. Rubric = 2. Deadline 2026-10-30.</t>
  </si>
  <si>
    <t xml:space="preserve">https://careers.insidehighered.com/job/3551689/assistant-professor-marketing-and-business-analytics-business-analytics/; https://careercenter.informs.org/q-business-professor-jobs.html</t>
  </si>
  <si>
    <t xml:space="preserve">This is the best fit at SJSU for an MIS/Management Science PhD. The candidate's June 2027 completion misses the preferred May 31, 2027 date but is before the August 17, 2027 start, which meets the required 'awarded by date of appointment'. The candidate should confirm with the department that H-1B sponsorship is available (SJSU has filed faculty H-1Bs before) and should stress any AI-related research.</t>
  </si>
  <si>
    <t xml:space="preserve">Assistant Professor of Marketing (Theoretical or Empirical Modeling)</t>
  </si>
  <si>
    <t xml:space="preserve">YES via OPT only - employer will not sponsor</t>
  </si>
  <si>
    <t xml:space="preserve">No - stated</t>
  </si>
  <si>
    <t xml:space="preserve">Not this posting - you applied to California State University, Long Beach on 2026-08-29 for another line; confirm if you also want this one</t>
  </si>
  <si>
    <t xml:space="preserve">https://csucareers.calstate.edu/en-us/job/559626/assistant-professor-of-marketing</t>
  </si>
  <si>
    <t xml:space="preserve">Department of Marketing</t>
  </si>
  <si>
    <t xml:space="preserve">Review of applications began 2026-08-20, so priority review has already passed. Search results still show the listing on CSU Careers (job 559626), Chronicle (38038026) and HigherEdJobs (179515746), and no closure notice turned up. The role starts Fall 2027 (effective 2027-08-17). Search chair: Dr. Risto Moisio (cba-mktg-jobs@csulb.edu). Department coordinator: Maria Fabian (maria.fabian@csulb.edu).</t>
  </si>
  <si>
    <t xml:space="preserve">2027-08-17 (Fall 2027)</t>
  </si>
  <si>
    <t xml:space="preserve">According to the search summary, CSULB's careers page says: "CSULB is currently not sponsoring applicants for H-1B employment for faculty that are subject to the $100,000 fee established by the 'Presidential Proclamation: Restriction on Entry of Certain Nonimmigrant Workers' issued on September 19, 2025. Applicants are responsible for determining the applicability of the fee." The restriction is conditional: it covers only hires subject to the $100K fee and is not a blanket ban on sponsorship.</t>
  </si>
  <si>
    <t xml:space="preserve">Accept on post-completion OPT (12 mo) + STEM OPT extension (24 mo, needs E-Verify employer + I-983 plan). No H-1B from this employer.</t>
  </si>
  <si>
    <t xml:space="preserve">Neither the search results nor the stored evidence mention any industry or professional experience requirement.</t>
  </si>
  <si>
    <t xml:space="preserve">PhD/DBA in marketing or a closely related field with a focus on theoretical or empirical modeling, from an AACSB- or EQUIS-accredited institution. The degree must be in hand or officially expected by the start date (stored evidence; the full wording was cut off). The search is aimed at Theoretical or Empirical Modeling candidates. Anticipated salary is $10,916-$11,750/month. Start date is Fall 2027 (2027-08-17).</t>
  </si>
  <si>
    <t xml:space="preserve">Quantitative marketing line (empirical modeling); marketing analytics scores 2. The causal-inference econometrics on influencers, sponsorships and subscriptions is relevant, but a marketing PhD is the norm and the candidate has none. Fall 2027.</t>
  </si>
  <si>
    <t xml:space="preserve">https://www.higheredjobs.com/details.cfm?JobCode=179515746; https://jobs.chronicle.com/job/38038026/assistant-professor-of-marketing/?TrackID=10</t>
  </si>
  <si>
    <t xml:space="preserve">This is a CSU (R2) tenure-track marketing job and is a weak field fit for an MIS PhD unless the candidate's work is in quantitative or empirical marketing modeling. Sponsorship risk: CSULB will not sponsor H-1B for faculty subject to the $100K proclamation fee, and applicants must determine for themselves whether the fee applies. The candidate (F-1, then OPT) should confirm with CSULB HR whether a change of status inside the US from F-1/OPT to H-1B would be fee-exempt. If it is, sponsorship may still be possible, but the posting does not confirm this. The PhD expected June 2027 fits the Aug 2027 start, provided the degree counts as 'in hand or official' by then.</t>
  </si>
  <si>
    <t xml:space="preserve">California State University, Fullerton</t>
  </si>
  <si>
    <t xml:space="preserve">Assistant Professor, Operations and Supply Chain Management</t>
  </si>
  <si>
    <t xml:space="preserve">Not this posting - you applied to California State University, Fullerton on 2026-08-30 for another line; confirm if you also want this one</t>
  </si>
  <si>
    <t xml:space="preserve">https://www.higheredjobs.com/faculty/details.cfm?JobCode=179544672</t>
  </si>
  <si>
    <t xml:space="preserve">Department of Management (the original lead said Information Systems and Decision Sciences; the search shows the posting comes from the Department of Management)</t>
  </si>
  <si>
    <t xml:space="preserve">Mihaylo College of Business and Economics</t>
  </si>
  <si>
    <t xml:space="preserve">A department member's LinkedIn post, quoted in the search results, says applications received by October 9, 2026 get full consideration. That date has passed as of 2026-10-15. Earlier evidence for this posting said later applications may be considered until the position is filled. This search did not show the CSUF HR requisition number 561477 again, so the candidate should check the CSU Careers / CSUF HR page and apply right away.</t>
  </si>
  <si>
    <t xml:space="preserve">The search for this posting said: 'None of the results mention whether the university sponsors visas.' However, the search for the sibling CSUF tenure-track posting (x4, School of Accountancy) returned what looks like university-wide wording: 'For tenure-track faculty positions, California State University, Fullerton is currently not sponsoring H-1B applicants subject to the $100,000 fee established by the "Presidential Proclamation: Restriction on Entry of Certain Nonimmigrant Workers" issued on September 19, 2025.' This posting very likely carries the same restriction, but the search did not confirm it.</t>
  </si>
  <si>
    <t xml:space="preserve">Preferred qualification: 'Industry experience in areas such as operations, logistics, purchasing, or project management.' Also preferred: experience building relationships with industry, professional groups, alumni, or community organizations. The candidate has no industry experience, so this is a minor weakness, not a disqualifier.</t>
  </si>
  <si>
    <t xml:space="preserve">Required: a terminal doctorate in operations management, supply chain management, logistics, or a closely related field, completed by the appointment start (Fall 2027). ABD applicants may apply if they will finish all degree requirements before the start. Also required: relevant academic, research, and teaching preparation; a demonstrated commitment to teaching; and a record of, or clear potential for, peer-reviewed scholarship. Preferred: ability to teach across more than one area of the curriculum. Department of Management, Mihaylo College of Business and Economics. Earlier evidence gave an anticipated hiring range of $11,029-$11,250/month.</t>
  </si>
  <si>
    <t xml:space="preserve">OSCM research line in the Management department; OM/SCM research lines score 2. Only partial overlap through econometrics, time series and system dynamics. The creator-economy/IS agenda is not OM. Fall 2027 start.</t>
  </si>
  <si>
    <t xml:space="preserve">The timing works: the candidate's PhD is expected June 2027 and the role starts Fall 2027, and ABD applicants are explicitly allowed. The candidate's field (Management Science/MIS) would need to be presented as 'closely related' to operations or supply chain management. The main risk is visa. CSUF's tenure-track postings say it will not sponsor H-1B applicants who are subject to the $100,000 proclamation fee. The candidate should ask CSUF HR whether a change of status from F-1/OPT inside the US is subject to that fee, and therefore whether H-1B sponsorship is possible. The posting can likely be filled on OPT at first. Sources: https://www.higheredjobs.com/faculty/details.cfm?JobCode=179544672</t>
  </si>
  <si>
    <t xml:space="preserve">Tenure-Track Faculty Position with a focus on Aviation Operations and Machine Learning/AI</t>
  </si>
  <si>
    <t xml:space="preserve">NOT CHECKED YET - sponsorship / industry experience not verified</t>
  </si>
  <si>
    <t xml:space="preserve">Not checked yet</t>
  </si>
  <si>
    <t xml:space="preserve">https://jobs.chronicle.com/job/37980193/tenure-track-faculty-position-with-a-focus-on-aviation-operations-and-machine-learning-ai-in-the/</t>
  </si>
  <si>
    <t xml:space="preserve">likely (earlier check)</t>
  </si>
  <si>
    <t xml:space="preserve">Not shown in results (College of Aviation school; title truncated)</t>
  </si>
  <si>
    <t xml:space="preserve">College of Aviation (school name truncated in listing title: 'in the ...')</t>
  </si>
  <si>
    <t xml:space="preserve">Tenure-track (rank not specified in title)</t>
  </si>
  <si>
    <t xml:space="preserve">The search results show no closing date or open-until-filled statement. Check on careers.erau.edu.</t>
  </si>
  <si>
    <t xml:space="preserve">Tenure-track lines can normally start on OPT / STEM OPT; ask HR about H-1B.</t>
  </si>
  <si>
    <t xml:space="preserve">This is an applied ML/AI tenure-track line in a non-business, non-computing unit (College of Aviation), centered on aviation operations. The candidate's ML/LLM methods partly match, but the domain is aviation operations, not IS or platforms, and the candidate has no aviation background or industry experience. That puts it below the score of 3 for IS-adjacent applied-AI units.</t>
  </si>
  <si>
    <t xml:space="preserve">https://jobs.chronicle.com/job/37980105/tenure-track-faculty-position-with-a-focus-on-big-data-analytics-and-aviation-safety-in-the/</t>
  </si>
  <si>
    <t xml:space="preserve">LIKELY PRIOR CYCLE: the ERAU aviation-analytics tenure-track postings were listed in April 2026 with a Fall 2026 start; apply only if ERAU confirms the line is still open for 2027. Round 3 IS-focused job-board sweep (Oct 15)</t>
  </si>
  <si>
    <t xml:space="preserve">round 3 IS sweep (Oct 15)</t>
  </si>
  <si>
    <t xml:space="preserve">Tenured/Tenure-Track Faculty (multiple positions, all ranks, all areas)</t>
  </si>
  <si>
    <t xml:space="preserve">https://www.iit.edu/computer-science/employment/tenuredtenure-track-faculty</t>
  </si>
  <si>
    <t xml:space="preserve">Department of Computer Science</t>
  </si>
  <si>
    <t xml:space="preserve">College of Computing</t>
  </si>
  <si>
    <t xml:space="preserve">Open rank (all ranks)</t>
  </si>
  <si>
    <t xml:space="preserve">No deadline or review date appeared in the search results. The iit.edu page is a standing department employment page with no cycle date. The search summary says the department's Teaching Faculty page sends tenure-track and tenured applicants to an academicjobsonline.org listing (job 25647). That listing could not be opened, so its deadline and its 2027 start date are not confirmed. The only 2027 faculty date in the results (2027/04/30) belongs to a separate Mumbai teaching-track posting, not to this one. The other 2027 dates in the results are student admission deadlines.</t>
  </si>
  <si>
    <t xml:space="preserve">unknown</t>
  </si>
  <si>
    <t xml:space="preserve">The search summary says: 'None of the results mention visa sponsorship for these faculty roles.' No sponsorship wording, either for or against, appeared for this posting.</t>
  </si>
  <si>
    <t xml:space="preserve">The search results quoted no requirement or preference for industry experience for the tenure-track or tenured lines.</t>
  </si>
  <si>
    <t xml:space="preserve">Per the search summary: applicants must have a Ph.D. in computer science or a closely related field at the start of the appointment, and should show significant research accomplishment and commitment to teaching. The posting covers multiple positions at all ranks and in all areas of computer science. Fit caution: the candidate's PhD is in Management Science (MIS), and a Computer Science department may not count it as a 'closely related field'. The PhD (expected June 2027) would need to be finished by the start date.</t>
  </si>
  <si>
    <t xml:space="preserve">This is a research line in a non-business computing unit open to all areas, so applied AI, ML and data-science profiles qualify in principle. It is not specifically an IS-adjacent, HCI or social-computing line, and CS departments rarely hire business-school MIS PhDs. I scored it below the rubric's 3 for that reason. The page is undated, so whether it is from the current cycle is unconfirmed.</t>
  </si>
  <si>
    <t xml:space="preserve">https://www.iit.edu/computer-science/employment/teaching-faculty</t>
  </si>
  <si>
    <t xml:space="preserve">The posting is confirmed only as a standing page: https://www.iit.edu/computer-science/employment/tenuredtenure-track-faculty. The search summary says the Teaching Faculty page (https://www.iit.edu/computer-science/employment/teaching-faculty) points tenure-track and tenured applicants to an academicjobsonline.org listing, job 25647. Its exact URL was not shown in the results, so it is not given here, and it is not verified that the listing belongs to the current cycle with a 2027 start. A separate listing, Illinois Tech CS at https://academicjobsonline.org/ajo/IllinoisTech/CS/TFMUMBAI, is a teaching-stream role in Mumbai (in person only) that closes 2027/04/30. It is not tenure-track and is probably not relevant to a US H-1B path. Illinois Tech's Information Technology and Management department may fit the candidate's MIS background better: it had a tenure-track posting for Fall 2024 (https://itm.iit.edu/faculty/ITMTenure-TrackFacultyJobPosting_Fall2024.pdf), but no current-cycle ITM posting appeared. The university HR portal is iit7-sb.peopleadmin.com. Next step: open AJO job 25647 or contact the CS department to confirm the deadline and whether H-1B sponsorship is offered.</t>
  </si>
  <si>
    <t xml:space="preserve">Marshall University</t>
  </si>
  <si>
    <t xml:space="preserve">Assistant Professor of Marketing, nine-month tenure-track (posting MU1878F; Banner position 000374)</t>
  </si>
  <si>
    <t xml:space="preserve">https://marshall.peopleadmin.com/postings/32608</t>
  </si>
  <si>
    <t xml:space="preserve">Marketing, MIS &amp; Entrepreneurship (MU2350)</t>
  </si>
  <si>
    <t xml:space="preserve">Lewis College of Business</t>
  </si>
  <si>
    <t xml:space="preserve">WV</t>
  </si>
  <si>
    <t xml:space="preserve">The PeopleAdmin record found earlier (posting 32608) shows Open Until Filled: Yes, with no close date and an open date of 07/17/2026. The new search (restricted to marshall.peopleadmin.com) confirmed the MU1878F details but showed no closing date and did not say the search had closed. Start is August 2027, and candidates who can start in January 2027 are preferred.</t>
  </si>
  <si>
    <t xml:space="preserve">August 2027 (January 2027 preferred if available)</t>
  </si>
  <si>
    <t xml:space="preserve">The search summary of posting MU1878F says: 'The search results do not mention visa sponsorship, so I couldn't confirm whether Marshall sponsors work visas for this position.' No sponsorship wording appeared in the earlier evidence either.</t>
  </si>
  <si>
    <t xml:space="preserve">There is no explicit industry or professional work requirement. The posting states 'a preference for digital marketing and social media marketing experience'. The results do not say whether this means industry, teaching or research experience.</t>
  </si>
  <si>
    <t xml:space="preserve">Requires a Ph.D. in Marketing from an AACSB-accredited business school. ABD candidates close to completion will also be considered. Applicants must show above-average teaching ability and quality scholarly research, plus interest in or ability to teach face-to-face and online (also hybrid). The role teaches undergraduate and graduate Marketing courses. It is a nine-month tenure-track Assistant Professor job in the Department of Marketing, MIS &amp; Entrepreneurship, Lewis College of Business (posting MU1878F, Banner position 000374).</t>
  </si>
  <si>
    <t xml:space="preserve">Marketing TT line (in Marketing, MIS &amp; Entrepreneurship dept) preferring Digital and Social Media Marketing teaching; overlaps the candidate's influencer research and social-media-analytics interest, but no marketing PhD. Rubric = 2. Watch same dept for MIS lines.</t>
  </si>
  <si>
    <t xml:space="preserve">Weak fit. The posting asks for a Ph.D. in Marketing, while the candidate's PhD is in Management Science (MIS). The department includes MIS, but this line is for Marketing. The candidate could not meet the preferred January 2027 start (degree expected June 2027), but an August 2027 start works, and ABD applicants near completion are considered. Sponsorship is not stated, so the candidate should ask Marshall HR about H-1B; OPT could cover the first year. Sources: https://marshall.peopleadmin.com/postings/32608 (earlier evidence); the new search went through marshall.peopleadmin.com, but 32608 was not among its listed links.</t>
  </si>
  <si>
    <t xml:space="preserve">Montclair State University</t>
  </si>
  <si>
    <t xml:space="preserve">Assistant Professor, Management (Organizational Change and the Future of Work)</t>
  </si>
  <si>
    <t xml:space="preserve">https://montclair.wd1.myworkdayjobs.com/en-US/JobOpportunities/job/Assistant-Professor--Management_R1005054</t>
  </si>
  <si>
    <t xml:space="preserve">Management</t>
  </si>
  <si>
    <t xml:space="preserve">Feliciano School of Business</t>
  </si>
  <si>
    <t xml:space="preserve">Neither the official Workday posting (R1005054) nor the mirror listings showed an application deadline or review date. The requisition was posted 2026-08-31, and no result said it had closed. Start date is August 27, 2027.</t>
  </si>
  <si>
    <t xml:space="preserve">2027-08-27</t>
  </si>
  <si>
    <t xml:space="preserve">The visible excerpts of the official Montclair Workday posting do not mention visa sponsorship. One Workopia aggregator page shows an 'H-1B' tag next to a 'Data year 2026' label. That tag likely comes from the aggregator's H-1B filing data, not from the employer, so it is not a statement in the posting.</t>
  </si>
  <si>
    <t xml:space="preserve">None of the results showed an industry or practitioner experience requirement. The listed qualifications cover the PhD field, research fit and teaching excellence.</t>
  </si>
  <si>
    <t xml:space="preserve">The aggregator listings ask for a PhD in Management, I/O Psychology, Organizational Behavior, Human Resource Management, or a closely related field. They also ask for teaching excellence at the undergraduate and graduate levels, with experience in inclusive pedagogies and curriculum development. The research focus is organizational change, change leadership, the future of work, digital transformation, AI in organizations, workforce analytics, and human-technology collaboration. Required materials are a cover letter, CV, research statement, teaching statement, and representative publications. Salary is $130,000-$160,000 and the department is in the Feliciano School of Business.</t>
  </si>
  <si>
    <t xml:space="preserve">Management line explicitly about digital transformation, AI in organizations and workforce analytics - tech-focused management (2); the candidate's ML/LLM and AI-in-business interests overlap, but OB/change-management fit is weak. Aug 2027 start fits.</t>
  </si>
  <si>
    <t xml:space="preserve">https://workopia.io/jobs/f8d5c82478b7b6c4b219da5bf6df4411; https://workopia.io/jobs/4a730483d319fed2e45d60a1ceac9cc7; https://www.higheredjobs.com/institution/search.cfm?University=Montclair+State+University</t>
  </si>
  <si>
    <t xml:space="preserve">An MIS PhD is not one of the named fields, so the candidate would need to argue that it counts as 'closely related'. The best case is research on digital transformation, AI in organizations or workforce analytics. The June 2027 PhD completion is before the August 27, 2027 start, which works on OPT, but sponsorship is not stated. The candidate should confirm with Feliciano School HR whether Montclair sponsors H-1B for tenure-track faculty. Official posting: https://montclair.wd1.myworkdayjobs.com/en-US/JobOpportunities/job/Assistant-Professor--Management_R1005054</t>
  </si>
  <si>
    <t xml:space="preserve">Oakland University</t>
  </si>
  <si>
    <t xml:space="preserve">Assistant/Associate Professor in Quantitative Methods in Management</t>
  </si>
  <si>
    <t xml:space="preserve">https://www.academicjobs.com/en-us/higher-education-news/oakland-university-jobs-2026-faculty-staff-openings-15490</t>
  </si>
  <si>
    <t xml:space="preserve">Not stated in results (Quantitative Methods in Management area; round-1 notes place quantitative/analytics/operations in the Department of Decision and Information Sciences)</t>
  </si>
  <si>
    <t xml:space="preserve">School of Business Administration</t>
  </si>
  <si>
    <t xml:space="preserve">Assistant/Associate Professor</t>
  </si>
  <si>
    <t xml:space="preserve">No application deadline or review-start date found. The only listing is on an aggregator page titled 'Oakland University Jobs 2026'. Its general text says 'Deadlines vary—e.g., May 2026 for education positions—but rolling reviews apply to many', which is not specific to this role.</t>
  </si>
  <si>
    <t xml:space="preserve">not seen (unverified; may be the 2026-start cycle like the SBA Finance/Accounting searches)</t>
  </si>
  <si>
    <t xml:space="preserve">No result mentioned visa or H-1B sponsorship for this posting. The official posting was not found.</t>
  </si>
  <si>
    <t xml:space="preserve">No qualifications text for this posting appeared in the results.</t>
  </si>
  <si>
    <t xml:space="preserve">No posting-specific requirements were found. A general aggregator note says Oakland faculty applications require a CV, cover letter, research and teaching statements, and references (not verified for this role).</t>
  </si>
  <si>
    <t xml:space="preserve">This is a business-school quantitative methods line, not an IS line, so it scores 2. It still fits some of the candidate's work: a Management Science PhD (MIS concentration), econometrics and causal inference, time series, ML and LLM methods, and system dynamics. The candidate was also a TA for Machine Learning for Business (Python) and lists ML and data analytics and Python for business as teaching interests. Those could support business statistics or quantitative methods courses.</t>
  </si>
  <si>
    <t xml:space="preserve">https://jobs.oakland.edu/postings/search?query_position_type_id=1&amp;commit=Search; https://jobs.oakland.edu/postings/search?page=2&amp;sort=1197+asc</t>
  </si>
  <si>
    <t xml:space="preserve">Unverified. The rank (Assistant/Associate Professor) suggests a tenure-track research line, but no result confirms tenure status, start date or term. The role appears only on academicjobs.com aggregator pages ('Oakland University Jobs 2026'; also seen at https://www.academicjobs.com/en-us/career-advice/oakland-university-jobs-2026-faculty-staff-openings-15490 and https://www.academicjobs.com/us/jobs-and-careers/oakland-university-jobs-2026-or-faculty-and-staff-openings-15490). One of those pages lumps it oddly with Engineering and Computer Science. Because of the '2026' label and the earlier finding that other SBA searches were for 2026 start, this may be a prior-cycle (2026-start) posting rather than a 2027 opening. The official Oakland University jobs portal or SBA listing was not found. Before relying on this row, the candidate should check the Oakland University HR employment site directly.</t>
  </si>
  <si>
    <t xml:space="preserve">Rochester Institute of Technology</t>
  </si>
  <si>
    <t xml:space="preserve">Assistant Professor (Tenure-Track), Supply Chain, Proj &amp; Oper Mgt/Quant Meth</t>
  </si>
  <si>
    <t xml:space="preserve">https://careercenter.informs.org/q-faculty-member-jobs.html</t>
  </si>
  <si>
    <t xml:space="preserve">Not stated in result</t>
  </si>
  <si>
    <t xml:space="preserve">Not stated in result (RIT's business unit is Saunders College of Business)</t>
  </si>
  <si>
    <t xml:space="preserve">No deadline, review date or closing date appeared in any search result. The INFORMS Career Center listing page (https://careercenter.informs.org/q-faculty-member-jobs.html), where the posting was found today, also shows none. The start term was not shown, so the search could not confirm that this is the 2027-start cycle.</t>
  </si>
  <si>
    <t xml:space="preserve">not shown</t>
  </si>
  <si>
    <t xml:space="preserve">None of the results mentioned visa sponsorship. The search summary said: 'No results covered visa sponsorship, required qualifications, or the application deadline.'</t>
  </si>
  <si>
    <t xml:space="preserve">No retrieved result mentioned industry or practitioner experience.</t>
  </si>
  <si>
    <t xml:space="preserve">The full qualifications text was not found. The search did confirm the role: 'The Management Department in the Saunders College of Business at Rochester Institute of Technology invites applications for a full-time, tenure-track assistant professor of supply chain management' in Rochester, NY. The title's field is Supply Chain, Project &amp; Operations Management / Quantitative Methods. Third-party job aggregators list a salary of $140,000-$155,000 a year; RIT's own posting was not seen.</t>
  </si>
  <si>
    <t xml:space="preserve">This is an operations / supply chain / quantitative methods tenure-track line, which the rubric scores 2. The candidate's econometrics and ML skills could support quantitative-methods teaching. Their core research (creator economy, platforms, misinformation) and IS publications (ISR R&amp;R, MISQ under review) fit IS lines better than OM/SCM.</t>
  </si>
  <si>
    <t xml:space="preserve">The posting exists: search results identify it as a full-time tenure-track assistant professor of supply chain management in the Management Department of Saunders College of Business. No direct RIT careers-site posting URL turned up, so the best link remains the INFORMS Career Center listing page (https://careercenter.informs.org/q-faculty-member-jobs.html). The results did not show the deadline, start date, visa policy or required degree field. The candidate should open the full posting on RIT's official careers site or INFORMS to confirm three things: that the job is for the 2027 start, whether H-1B sponsorship is offered, and whether an MIS/Management Science PhD (ABD, expected June 2027) fits a field centred on supply chain, operations and quantitative methods. Until sponsorship is confirmed, the candidate could start on post-completion OPT (and possibly STEM OPT), but long-term employment would depend on RIT sponsoring an H-1B, which nothing in the results addresses. Only 1 search was allowed, and it was used.</t>
  </si>
  <si>
    <t xml:space="preserve">Texas State University</t>
  </si>
  <si>
    <t xml:space="preserve">Assistant Professor (Management / Supply Chain), tenure-track</t>
  </si>
  <si>
    <t xml:space="preserve">https://jobs.hr.txstate.edu/postings/57536</t>
  </si>
  <si>
    <t xml:space="preserve">McCoy College of Business</t>
  </si>
  <si>
    <t xml:space="preserve">No confirmed closing or review date. The search summary of the Texas State applicant portal (jobs.hr.txstate.edu/postings/search) shows the McCoy College Assistant Professor of Management (Fall 2027) listing with the date 11/05/2026. The results do not say whether that is a posting date or a closing date, so treat it as possible. The prior cycle (Fall 2026, HigherEdJobs and portal posting 54423) had an application deadline of 01/10/2026. The candidate should check portal posting 57536 right away and apply before 11/05/2026 to be safe.</t>
  </si>
  <si>
    <t xml:space="preserve">Neither the search results nor the snippets from the portal, the RRC careers page or the AOM OSCM post mention visa or H-1B sponsorship. The full text of posting 57536 could not be opened.</t>
  </si>
  <si>
    <t xml:space="preserve">The results only describe research expectations: the ideal candidate 'would regularly publish high-quality research in the management/supply chain domain'. They do not mention any industry or practitioner experience.</t>
  </si>
  <si>
    <t xml:space="preserve">This is a 'recently approved, tenure-track position at the rank of Assistant Professor to begin in Fall 2027' in the McCoy College of Business, Department of Management. It is listed for the San Marcos and Round Rock campuses. The candidate is expected to publish high-quality research regularly in management/supply chain. The search did not show the full degree, field or teaching requirements, so the candidate should check portal posting 57536.</t>
  </si>
  <si>
    <t xml:space="preserve">Supply chain / management research line, which scores 2 (OM/SCM). The candidate's system-dynamics and econometric methods transfer, but the candidate's research in the creator economy and platforms is IS, not supply chain. Assistant TT, Fall 2027 fits the candidate's timing.</t>
  </si>
  <si>
    <t xml:space="preserve">https://oscm.aom.org/discussion/we-are-hiring-tenure-track-assistant-professor-of-management-supply-chain-at-texas-state-university; https://www.rrc.txst.edu/about/rrc-careers.html</t>
  </si>
  <si>
    <t xml:space="preserve">The posting looks active for the Fall 2027 cycle, and the 11/05/2026 date on the portal may be the closing date. The Fall 2027 start fits the candidate's June 2027 PhD, which would allow starting on OPT. The research area is management/supply chain, not MIS, so the fit depends on whether the candidate's work touches on supply chain or operations. The results say nothing on sponsorship, so the candidate should ask HR whether H-1B is supported. Sources: https://jobs.hr.txstate.edu/postings/search ; https://www.rrc.txst.edu/about/rrc-careers.html ; https://oscm.aom.org/discussion/we-are-hiring-tenure-track-assistant-professor-of-management-supply-chain-at-texas-state-university ; https://www.higheredjobs.com/institution/details.cfm?JobCode=179288631&amp;Title=Assistant+Professor+of+Management</t>
  </si>
  <si>
    <t xml:space="preserve">University of Missouri-St. Louis</t>
  </si>
  <si>
    <t xml:space="preserve">Barriger Endowed Professor of Transportation Studies and Professor of Supply Chain &amp; Analytics</t>
  </si>
  <si>
    <t xml:space="preserve">https://www.umsl.edu/business/departments/supply-chain/index.html</t>
  </si>
  <si>
    <t xml:space="preserve">Supply Chain &amp; Analytics</t>
  </si>
  <si>
    <t xml:space="preserve">College of Business Administration (the search summary also calls it the Ed G. Smith College of Business)</t>
  </si>
  <si>
    <t xml:space="preserve">Full Professor (endowed chair)</t>
  </si>
  <si>
    <t xml:space="preserve">MO</t>
  </si>
  <si>
    <t xml:space="preserve">No closing date, review date or application instructions appeared in the UniversityJobs listing (universityjobs.com/posting/7320145) or the Indeed and Glassdoor aggregator copies. The search summary says no closing date could be found. No official UM System or UMSL HR copy surfaced, so the posting date is also unknown.</t>
  </si>
  <si>
    <t xml:space="preserve">None of the results (UniversityJobs, Indeed or Glassdoor) mentions visa sponsorship or H-1B in any way.</t>
  </si>
  <si>
    <t xml:space="preserve">No industry or practitioner experience requirement is shown. The listing asks for 'interest in multi-modal transportation including railroads'. It also mentions work with the Supply Chain Analytics Center of Excellence on external research grants, class projects for experiential learning, and community outreach.</t>
  </si>
  <si>
    <t xml:space="preserve">This is a full-time endowed tenured chair at full professor rank in the Supply Chain &amp; Analytics department of the Ed G. Smith College of Business. Per UniversityJobs, the ideal candidate is 'an established scholar with recognized achievements in research, excellence in teaching, and an established record of external funding', with interest in multi-modal transportation including railroads. The department runs AACSB-accredited programs, including an MS in Supply Chain Analytics and a PhD in Business Administration with a Supply Chain &amp; Analytics emphasis.</t>
  </si>
  <si>
    <t xml:space="preserve">Supply chain/transportation research line in a Supply Chain &amp; Analytics unit = 2. Only the econometrics and time-series methods overlap; there is no logistics research on the CV. Risk: endowed Full Professor chair, effectively unreachable for an ABD.</t>
  </si>
  <si>
    <t xml:space="preserve">https://www.indeed.com/q-umsl-professor-l-st.-louis,-mo-jobs.html; https://www.glassdoor.com/Jobs/UMSL-Jobs-E1374043.htm</t>
  </si>
  <si>
    <t xml:space="preserve">This is a poor fit for the candidate. It is a senior endowed full-professor chair that calls for an established research and grant record, and an ABD candidate finishing the PhD in June 2027 cannot meet that. Older UMSL pages name George Zsidisin as the John W. Barriger III Endowed Professor, so this may be a search to refill that chair (not confirmed). Sources: https://universityjobs.com/posting/7320145 ; https://www.indeed.com/q-umsl-professor-l-st.-louis,-mo-jobs.html ; https://www.glassdoor.com/Jobs/UMSL-Jobs-E1374043.htm</t>
  </si>
  <si>
    <t xml:space="preserve">University of North Carolina at Greensboro</t>
  </si>
  <si>
    <t xml:space="preserve">Assistant Professors of Management or Marketing (2 positions; AI focus)</t>
  </si>
  <si>
    <t xml:space="preserve">https://spartantalent.uncg.edu/postings/35431</t>
  </si>
  <si>
    <t xml:space="preserve">Department of Management and/or Department of Marketing, Entrepreneurship, Hospitality and Tourism</t>
  </si>
  <si>
    <t xml:space="preserve">Bryan School of Business and Economics</t>
  </si>
  <si>
    <t xml:space="preserve">Neither the earlier file nor this search turned up a closing date. The official UNCG Spartan Talent posting 35431 is still indexed, along with copies on Inside Higher Ed, the Chronicle and Indeed. The 'For Best Consideration Date' field appears to be blank, so treat this as a rolling search and apply soon. The start date is August 1, 2027.</t>
  </si>
  <si>
    <t xml:space="preserve">None of the search results (the official Spartan Talent posting 35431, Indeed, the Chronicle and Inside Higher Ed) mention visa or H-1B sponsorship. The search summary says: 'none of the retrieved pages mention it, so the posting's full text or the UNCG HR office would need to be checked.'</t>
  </si>
  <si>
    <t xml:space="preserve">The results mention no industry experience requirement. The 'evidence of engagement with artificial intelligence' can come from research, teaching, coursework or applied projects, so work experience is not required to show it.</t>
  </si>
  <si>
    <t xml:space="preserve">Two tenure-stream Assistant Professor positions in Management and/or Marketing, Entrepreneurship, Hospitality and Tourism, with areas including Management, Marketing, Innovation or Strategy (postings 997990 and 997991). Requires a doctorate from an AACSB- or EQUIS-accredited school in business administration, management, marketing or a related field. ABDs who expect to finish by August 1, 2027 may be considered. The role centers on using AI in both teaching and research. Applicants must show evidence of engagement with AI (research, teaching, coursework or applied projects), and the letter of interest must explain how the applicant has used, studied or taught AI, or plans to. Teaching is mainly undergraduate, both online and face-to-face.</t>
  </si>
  <si>
    <t xml:space="preserve">Management/marketing/innovation/strategy lines explicitly centered on AI in research and teaching = 2. The LLM/ML methods and AI-in-business teaching interest fit, but the home field is management or marketing, not IS.</t>
  </si>
  <si>
    <t xml:space="preserve">https://careers.insidehighered.com/job/3529958/assistant-professors-of-management-or-marketing/; https://jobs.chronicle.com/job/38016247/assistant-professors-of-management-or-marketing/; https://www.indeed.com/viewjob?jk=7d092fde493b9f7f</t>
  </si>
  <si>
    <t xml:space="preserve">This is an R2 business-school tenure-track opening. The candidate (MIS PhD expected June 2027) fits the ABD rule since the degree is due before August 1, 2027, but must confirm that the PhD program counts as 'related field' from an AACSB/EQUIS-accredited school. The job is listed under Management/Marketing, not IS, so fit depends on positioning the candidate's AI and IS research as management, innovation or strategy work. Sponsorship is not stated anywhere. Ask UNCG HR or the search committee whether they sponsor H-1B for tenure-track faculty. Post-completion OPT, plus possible STEM OPT, could cover the start date. Sources: https://spartantalent.uncg.edu/postings/35431 ; https://careers.insidehighered.com/job/3529958/assistant-professors-of-management-or-marketing/ ; https://jobs.chronicle.com/job/38016247/assistant-professors-of-management-or-marketing/ ; https://www.indeed.com/viewjob?jk=7d092fde493b9f7f</t>
  </si>
  <si>
    <t xml:space="preserve">Rowan University</t>
  </si>
  <si>
    <t xml:space="preserve">Tenure-Track Assistant/Associate Professor of Supply Chain &amp; Logistics</t>
  </si>
  <si>
    <t xml:space="preserve">2025-12-01</t>
  </si>
  <si>
    <t xml:space="preserve">https://www.higheredjobs.com/details.cfm?JobCode=179287305</t>
  </si>
  <si>
    <t xml:space="preserve">Department of Marketing and Business Information Systems</t>
  </si>
  <si>
    <t xml:space="preserve">William G. Rohrer College of Business</t>
  </si>
  <si>
    <t xml:space="preserve">The search summary says review was 'to begin immediately and continue until the position was filled', with priority for applications received before December 1, 2025. The start date was September 1, 2026. Both dates have passed as of 2026-10-15, so this is likely the 2025-26 cycle posting. It still appears on HigherEdJobs, Tallo and ZipRecruiter, but nothing confirms a new 2026-27 cycle. Check jobs.rowan.edu for current status.</t>
  </si>
  <si>
    <t xml:space="preserve">The search results did not mention visa or H-1B sponsorship. No wording either way was shown.</t>
  </si>
  <si>
    <t xml:space="preserve">The search results did not mention industry experience. The summary says 'teaching interests in strategic supply chain management and Lean Six Sigma are encouraged', but 'all specializations are considered'.</t>
  </si>
  <si>
    <t xml:space="preserve">10-month, full-time, tenure-track Assistant/Associate Professor of Supply Chain and Logistics in the Department of Marketing and Business Information Systems, Rohrer College of Business. The listing asks for at least three references with contact details. Confidential letters are requested only from candidates who move forward. Applications go through Rowan's online portal. The search did not show the minimum or preferred qualifications, such as the degree requirement or ABD acceptance. Salary: HigherEdJobs lists $122,096-$164,025 per year, while Tallo lists $143,060.</t>
  </si>
  <si>
    <t xml:space="preserve">SCM &amp; logistics TT line in Marketing &amp; BIS dept; field is SCM (2), not IS.</t>
  </si>
  <si>
    <t xml:space="preserve">https://jobs.rowan.edu/; https://jobs.chronicle.com/employer/e5b163db-1843-4158-bbaa-8c81648a6284/rowan-university; https://jobs.chronicle.com/employer/e5b163db-1843-4158-bbaa-8c81648a6284/rowan-university/hub/jobs</t>
  </si>
  <si>
    <t xml:space="preserve">This is a supply chain and logistics post, not an MIS post, so it fits the candidate only partly unless the candidate's research covers SCM or operations. The priority date and start date have both passed, so the posting may be stale or already filled. The candidate should check jobs.rowan.edu for a reposting for the 2027 start. Sources: https://www.higheredjobs.com/details.cfm?JobCode=179287305 ; https://tallo.com/jobs/marketing/marketing-assistant-associate/nj/gloucester/assistant-associate-professor-of-supply-chain-49a9b7b9714a/ ; https://www.ziprecruiter.com/c/Rowan-University/Job/Assistant-Associate-Professor-of-Supply-Chain-&amp;-Logistics,-Department-of-Marketing-and-Business-I.../-in-Glassboro,NJ?jid=0c4bf870a80f8eff ; https://jobs.chronicle.com/employer/e5b163db-1843-4158-bbaa-8c81648a6284/rowan-university</t>
  </si>
  <si>
    <t xml:space="preserve">Lamar University</t>
  </si>
  <si>
    <t xml:space="preserve">Assistant Professor, Marketing</t>
  </si>
  <si>
    <t xml:space="preserve">https://careers.insidehighered.com/job/3550748/assistant-professor-marketing/?TrackID=11</t>
  </si>
  <si>
    <t xml:space="preserve">Management &amp; Marketing (presumed; posting is for Marketing)</t>
  </si>
  <si>
    <t xml:space="preserve">The listing gives no application deadline. The Inside Higher Ed listing (job 3550748) is dated 2026-09-13 in its metadata and is valid through 2026-11-12. That looks like when the listing expires, not a stated application deadline. No result shows it closed or filled. Review appears to be rolling, so the candidate should apply well before 2026-11-12.</t>
  </si>
  <si>
    <t xml:space="preserve">Not stated (presumably AY 2027-28, given a mid/late 2026 posting; not confirmed)</t>
  </si>
  <si>
    <t xml:space="preserve">The search found no visa or H-1B sponsorship wording in the Lamar posting or elsewhere in the results. Confirm with the College of Business or Lamar HR.</t>
  </si>
  <si>
    <t xml:space="preserve">The results show no industry or professional experience requirement. Requirements are academic only: a Ph.D. in Marketing and potential for scholarly research.</t>
  </si>
  <si>
    <t xml:space="preserve">Requires a 'Ph.D. in Marketing from an AACSB-accredited (or equivalent) institution. ABD candidates may be considered if degree completion is imminent.' Also requires 'evidence of potential for scholarly research and publication in peer-reviewed academic journals.' Nine-month, tenure-track role with undergraduate and graduate teaching in marketing (e.g., consumer behavior, digital marketing), research, and service. Lamar's faculty handbook says new tenure-track assistant professors teach no more than 21 semester hours per academic year for their first two years. Glassdoor's pay estimate of $41K-$77K is a third-party figure, not Lamar's.</t>
  </si>
  <si>
    <t xml:space="preserve">Marketing line requiring consumer behavior and digital marketing teaching; digital-marketing overlap with the candidate's influencer/creator-economy research and social-media-analytics interest, but no marketing PhD. Rubric: digital marketing = 2.</t>
  </si>
  <si>
    <t xml:space="preserve">https://careers.insidehighered.com/employer/5fa10fd0-0be8-4a89-a9ba-cc0f6883ffcf/lamar-university; https://www.indeed.com/q-Professor-Marketing-l-Texas-jobs.html</t>
  </si>
  <si>
    <t xml:space="preserve">Poor fit for the candidate. The posting asks for a Ph.D. in Marketing, while the candidate's Ph.D. is in Management Science (MIS), expected June 2027. ABD applicants are accepted only if 'degree completion is imminent', which may not cover a June 2027 finish if the job starts in fall 2027. The posting is silent on sponsorship, so the candidate would need to ask HR about H-1B. Lamar also had a separate 'Assistant Professor, Tenure Track' listing on Inside Higher Ed (job 3501824) and HigherEdJobs (JobCode 179379060). The search did not show its department, so it is worth checking whether that one is in MIS or Business Analytics. Sources: https://careers.insidehighered.com/job/3550748/assistant-professor-marketing/?TrackID=11 ; https://www.lamar.edu/faculty-staff/_files/documents/academic-affairs/lamar-university-faculty-handbook.pdf</t>
  </si>
  <si>
    <t xml:space="preserve">Assistant Professor, Computational Communication (tenure-track)</t>
  </si>
  <si>
    <t xml:space="preserve">2026-11-15</t>
  </si>
  <si>
    <t xml:space="preserve">https://jobs.villanova.edu/postings/36537</t>
  </si>
  <si>
    <t xml:space="preserve">Department of Communication</t>
  </si>
  <si>
    <t xml:space="preserve">College of Liberal Arts and Sciences</t>
  </si>
  <si>
    <t xml:space="preserve">Priority date, not a hard close. Villanova's posting (no. 20260081F, jobs.villanova.edu/postings/36537) says review of applications begins now, and completed applications received on or before November 15, 2026 will be favored. Start date is Fall 2027. Apply through jobs.villanova.edu.</t>
  </si>
  <si>
    <t xml:space="preserve">The extended search returned the official posting (jobs.villanova.edu/postings/36537), but no text about visa or H-1B sponsorship appeared in the results. The results summary said: 'Neither [qualifications nor visa sponsorship] appeared in the results.'</t>
  </si>
  <si>
    <t xml:space="preserve">The search snippets and the stored evidence do not mention industry or professional experience. The requirements described are academic: degree, research program and teaching.</t>
  </si>
  <si>
    <t xml:space="preserve">From the stored evidence: a Ph.D. in Communication or an allied field. ABD candidates are considered if they finish by August 2027. The research program should use quantitative computational social science and big-data analytics, such as text analysis/NLP, network science, ML and human-AI interaction. Teaching focuses on quantitative and computational communication courses. Finalists must submit a statement on how their teaching, research and service fit Villanova's mission. The role is a full-time, 9-month faculty appointment at Assistant Professor rank. Teaching load is 2-2 in year one and 3-2 from year two.</t>
  </si>
  <si>
    <t xml:space="preserve">Learned rubric puts computational-communication lines outside business at 2. Still, the substance overlaps a lot with the candidate's work. The candidate's research on the creator economy, influencer dynamics on video platforms, online communities, misinformation and platform governance uses ML/LLMs and multimodal text, audio and video data. That matches the posting's NLP, ML and human-AI interaction areas. The candidate's econometrics and causal-inference methods would support teaching quantitative methods, and the candidate's social media analytics and Python teaching interests also fit. Risks: (1) the posting asks for a Communication or allied-field PhD, and the candidate's PhD is Management Science (MIS concentration), so the candidate would have to present IS as an allied field; (2) the candidate's IS-journal pipeline (ISR R&amp;R, MISQ under review) may count for less with communication reviewers than communication-venue papers would; (3) the 3-2 load from year two is heavier than at an R1 business school. Timing works: ABD is accepted if the candidate finishes by August 2027, and the candidate's PhD is expected June 2027.</t>
  </si>
  <si>
    <t xml:space="preserve">https://academicjobs.fandom.com/wiki/Communication_and_Media_Studies_2026-2027</t>
  </si>
  <si>
    <t xml:space="preserve">This is a tenure-track role in a Communication department in the College of Liberal Arts and Sciences, not in a business school. The candidate's expected June 2027 PhD finish meets the August 2027 ABD cutoff. Whether a Management Science (MIS) PhD counts as an 'allied field' is unclear. The research methods (NLP, network science, ML, human-AI interaction) overlap with MIS, which may help the case. The search found no visa sponsorship statement either way. The candidate could start on OPT, but should ask HR or the search chair about H-1B sponsorship before investing heavily. The 3-2 load from year two is fairly heavy for a research-track role.</t>
  </si>
  <si>
    <t xml:space="preserve">Assistant Professor - School of Information - Youth Information Ecosystems, Critical Technology Studies, and AI Literacy</t>
  </si>
  <si>
    <t xml:space="preserve">https://careers.insidehighered.com/job/3557055/assistant-professor-school-of-information-youth-information-ecosystems-critical-technology-/</t>
  </si>
  <si>
    <t xml:space="preserve">Applications are due November 19, 2026 and are accepted until the position is filled or closed (Inside Higher Ed 3557055; Chronicle 38045621; DreamWork CSU Careers mirror). Target start date is August 17, 2027.</t>
  </si>
  <si>
    <t xml:space="preserve">August 2027 (target 2027-08-17 per prior evidence)</t>
  </si>
  <si>
    <t xml:space="preserve">Research on how children, adolescents and emerging adults engage with information, digital technologies, social media, AI and networked environments. Duties include curricular leadership for the Teacher Librarian Program. The work may only be performed in California and requires an on-campus presence. Salary is $100,000-$110,000. The full qualifications were not visible in the results. An earlier SJSU iSchool posting (December 2025) asked for a terminal degree (Ph.D., Ed.D. or equivalent) in Library and Information Science or a related field, the doctorate by the start of appointment, and a record of scholarly achievement, and strongly preferred online teaching experience.</t>
  </si>
  <si>
    <t xml:space="preserve">iSchool line outside the business school whose core is youth information behavior, AI literacy and school librarianship, which makes it an AI-education/critical-tech line (rubric 2) rather than HCI, social computing or IS (3). There is some overlap: the candidate's work on social media/video platforms, influencer dynamics, misinformation and platform governance, and LLM/multimodal methods fits the 'social media, AI, networked environments' focus. Gaps: no youth-focused research, no librarianship or teacher-education background, and the line asks for curricular leadership of the Teacher Librarian Program. Rank and timing work: the Assistant tenure-track start in August 2027 matches the June 2027 PhD.</t>
  </si>
  <si>
    <t xml:space="preserve">https://jobs.chronicle.com/job/38045621/assistant-professor-school-of-information-youth-information-ecosystems-critical-technology/; https://www.dreamworkhq.com/job/11a05d00-494f-49a7-a2c1-17d66afdbcac</t>
  </si>
  <si>
    <t xml:space="preserve">This is a poor fit for an MIS/Management Science PhD. The focus is youth information behavior, media literacy and the teacher-librarian program in an LIS school. The qualifications quoted above come from an earlier posting and need checking on the official CSU Careers page.</t>
  </si>
  <si>
    <t xml:space="preserve">Assistant Professor, School of Accountancy (two tenure-track Assistant Professor positions in Accounting)</t>
  </si>
  <si>
    <t xml:space="preserve">https://www.higheredjobs.com/faculty/details.cfm?JobCode=179434448</t>
  </si>
  <si>
    <t xml:space="preserve">School of Accountancy</t>
  </si>
  <si>
    <t xml:space="preserve">Earlier evidence: full consideration was 2026-08-30 (passed), and applications continue to be accepted and reviewed until the positions are filled. Applications go through the CSUF faculty HR site, position #557558. Anticipated appointment dates are 2027-01-19 or 2027-08-16. One search result was a separate listing with a different job ID (560059), a salary of $5,178-$7,543/month, and 'applications close: Oct 22 2026'. That listing is probably a different posting and was not confirmed as this one.</t>
  </si>
  <si>
    <t xml:space="preserve">Spring 2027 (2027-01-19) or Fall 2027 (2027-08-16)</t>
  </si>
  <si>
    <t xml:space="preserve">Search summary of the posting: 'For tenure-track faculty positions, California State University, Fullerton is currently not sponsoring H-1B applicants subject to the $100,000 fee established by the "Presidential Proclamation: Restriction on Entry of Certain Nonimmigrant Workers" issued on September 19, 2025.' The restriction is conditional: it covers only H-1B applicants subject to the $100,000 fee.</t>
  </si>
  <si>
    <t xml:space="preserve">The search results did not mention any industry or professional experience requirement for this posting.</t>
  </si>
  <si>
    <t xml:space="preserve">Two tenure-track Assistant Professor positions in Accounting, School of Accountancy, Mihaylo College of Business and Economics. Teaching areas: financial accounting, managerial accounting, accounting information systems, data analytics, or emerging technologies in accounting. Duties include peer-reviewed research, student advising, and committee service. Application materials: CV, research statement, and an unofficial Ph.D. transcript, submitted online (position #557558). SSRN listing salary: $6,221-$13,224/month (12 payments per academic year). The search did not show the required doctoral field or whether ABD applicants are accepted.</t>
  </si>
  <si>
    <t xml:space="preserve">Weak. Accounting lines; AIS, data analytics and emerging technologies appear only among acceptable teaching areas. An accounting doctorate or CPA is expected and the candidate has neither. Only the analytics and cloud teaching overlaps.</t>
  </si>
  <si>
    <t xml:space="preserve">This is a weak fit for the candidate. It is an accounting school, and the search did not say whether a PhD in Management Science/MIS would qualify, though AIS and data analytics are listed teaching areas. The Spring 2027 start (2027-01-19) is impossible for the candidate; only the Fall 2027 (2027-08-16) start fits the June 2027 PhD. Visa: CSUF states it is not sponsoring H-1B applicants subject to the $100,000 proclamation fee. The candidate should ask HR whether an in-country change of status from F-1/OPT is subject to the fee before investing in an application. Sources: https://www.higheredjobs.com/faculty/details.cfm?JobCode=179434448 ; https://www.ssrn.com/index.cfm/en/janda/job/?id=19209</t>
  </si>
  <si>
    <t xml:space="preserve">Marquette University</t>
  </si>
  <si>
    <t xml:space="preserve">Assistant Professor of Accounting (Tenure Track) - Fall 2027</t>
  </si>
  <si>
    <t xml:space="preserve">https://employment.marquette.edu/postings/25176</t>
  </si>
  <si>
    <t xml:space="preserve">Accounting</t>
  </si>
  <si>
    <t xml:space="preserve">WI</t>
  </si>
  <si>
    <t xml:space="preserve">Posting 201104793 was posted 07/10/2026, and the closing-date field on the official posting (employment.marquette.edu/postings/25176) is blank. No review date is stated. The search on 2026-10-15 still returned the posting, so it is presumably open until filled. The start date is Fall 2027.</t>
  </si>
  <si>
    <t xml:space="preserve">None of the retrieved pages (the official posting at employment.marquette.edu/postings/25176 and related listings) mention visa sponsorship or work authorization. The candidate would need to check the full posting or the HR/application FAQ, or contact Marquette HR.</t>
  </si>
  <si>
    <t xml:space="preserve">The posting says professional experience or certifications are welcome but not mandatory. It lists no industry experience as required.</t>
  </si>
  <si>
    <t xml:space="preserve">Required: an earned doctorate or terminal degree, plus demonstrated potential for teaching excellence and high-quality research. ABD may be considered (listed as a preferred qualification). Scholars using archival or experimental methods are encouraged to apply. Duties: teaching financial accounting or accounting technology at the undergraduate and MSA levels, plus research and service. The search summary gives the normal load as 12 semester hours in the first year and 15 thereafter. Salary and research support are described as competitive, including travel funds and guaranteed summer support for at least the first three years.</t>
  </si>
  <si>
    <t xml:space="preserve">Accounting TT line; 'accounting technology' is the only IS-adjacent hook for the candidate's ML/LLM and IS-economics methods, but archival/experimental accounting research and an accounting background are expected and the candidate has no CPA/accounting PhD. Weak.</t>
  </si>
  <si>
    <t xml:space="preserve">https://employment.marquette.edu/postings/search; https://employment.marquette.edu/postings/search?sort=558+asc</t>
  </si>
  <si>
    <t xml:space="preserve">This is an Accounting department line in the College of Business Administration, not an MIS line, so it fits the candidate's Management Science (MIS) PhD only weakly. The accounting technology teaching area is the main overlap. The candidate's June 2027 ABD status may be acceptable, because ABD can be considered and the start is Fall 2027. Sponsorship is not addressed, so the candidate should ask HR about H-1B (OPT could cover the start). Sources: https://employment.marquette.edu/postings/25176</t>
  </si>
  <si>
    <t xml:space="preserve">University of Alaska Fairbanks</t>
  </si>
  <si>
    <t xml:space="preserve">Assistant Professor, Business Administration (tenure-track)</t>
  </si>
  <si>
    <t xml:space="preserve">https://www.indeed.com/q-assistant-professors-l-fairbanks,-ak-jobs.html</t>
  </si>
  <si>
    <t xml:space="preserve">Business Administration</t>
  </si>
  <si>
    <t xml:space="preserve">School of Management</t>
  </si>
  <si>
    <t xml:space="preserve">AK</t>
  </si>
  <si>
    <t xml:space="preserve">No deadline, review date or posting date appeared in either the original Indeed snippet or the re-check search. The search turned up no UAF requisition on careers.alaska.edu for this role. Posting year and cycle are unconfirmed: the snippet says only 'to begin in Fall…', with the year cut off.</t>
  </si>
  <si>
    <t xml:space="preserve">Fall (year truncated in snippet; not confirmed as 2027)</t>
  </si>
  <si>
    <t xml:space="preserve">None of the results said anything about visa or H-1B sponsorship. The only text from the posting is the truncated Indeed snippet.</t>
  </si>
  <si>
    <t xml:space="preserve">No qualifications text appeared in any result, so the requirements are unknown.</t>
  </si>
  <si>
    <t xml:space="preserve">Unknown. The results showed no qualifications or degree requirements and no field emphasis. The UAF catalog says the B.B.A. program covers finance, human resources, leadership and marketing and sits in the College of Business and Security Management. That is context only, not posting text.</t>
  </si>
  <si>
    <t xml:space="preserve">The line is general Business Administration in UAF's AACSB School of Management. No IS or analytics emphasis is visible, so it is scored weak (1) for now. If the full posting allows IS or analytics, the candidate could fit well. The candidate was instructor of record for Intro to Connected Systems for Business (cloud, IoT, Azure labs), was TA for Machine Learning for Business (Python) and Intro to IT Management, and has IS research in the pipeline (R&amp;R at ISR, under review at MISQ). If the posting turns out to require accounting, finance or marketing, the fit would drop to 0. The start year must be confirmed as Fall 2027 on careers.alaska.edu.</t>
  </si>
  <si>
    <t xml:space="preserve">Search or mirror page - find the title on the university job portal</t>
  </si>
  <si>
    <t xml:space="preserve">https://careers.alaska.edu/jobs/search/faculty-jobs</t>
  </si>
  <si>
    <t xml:space="preserve">The re-check search could not confirm the posting. The only evidence is still the Indeed aggregator snippet: 'The University of Alaska Fairbanks invites applications for a tenure-track position at the Assistant Professor rank in Business Administration, to begin in Fall…'. It may be from an earlier hiring cycle. A Lensa result labeled 'Assistant Professor of Business Analytics job in Anchorage at University of Alaska Fairbanks' is actually a UAA (Anchorage) role, not this UAF position. Fit score is 1. To verify, check careers.alaska.edu (Faculty Jobs) for a current UAF College of Business and Security Management requisition.</t>
  </si>
  <si>
    <t xml:space="preserve">University of Arkansas at Little Rock</t>
  </si>
  <si>
    <t xml:space="preserve">Assistant Professor of Management - 9 Month (P00001202 / R0089401)</t>
  </si>
  <si>
    <t xml:space="preserve">YES via OPT only - employer will not sponsor (industry experience preferred, not required)</t>
  </si>
  <si>
    <t xml:space="preserve">https://uasys.wd5.myworkdayjobs.com/UASYS</t>
  </si>
  <si>
    <t xml:space="preserve">Department of Management, Marketing, and Technology</t>
  </si>
  <si>
    <t xml:space="preserve">School of Business, College of Business, Health, and Human Services</t>
  </si>
  <si>
    <t xml:space="preserve">No closing date or review date appears in any result. The dreamworkhq reposting leaves its Closing Date blank. HigherEdJobs lists the R0089401 posting as 'posted 8 days ago', but that age is relative to an unknown crawl date. The Chronicle employer page for UA Little Rock also lists it (P00001202/R0089401). Apply through the University of Arkansas System Workday site (https://uasys.wd5.myworkdayjobs.com/UASYS, requisition R0089401). The job looks open until filled, but that is not stated, so the candidate should apply soon.</t>
  </si>
  <si>
    <t xml:space="preserve">The only explicit statement is on the third-party aggregator reposting (dreamworkhq.com, 'Assistant Professor of Management - 9 MONTH at Uasys'), which shows 'Sponsorship Available: No'. No result shows the official Workday text, so it is not confirmed whether the university wrote this. Aggregators often fill this field automatically. Context: myvisajobs reports that UA Little Rock filed 8 H-1B LCAs in FY2025, including some assistant professor roles. The candidate should ask the department chair (Yue Zhao) or HR directly before ruling this job out.</t>
  </si>
  <si>
    <t xml:space="preserve">Must already be authorized to work in US (no sponsorship)</t>
  </si>
  <si>
    <t xml:space="preserve">The search summary lists preferred qualifications as teaching experience, 'professional work experience supporting teaching assignments', and a record of research, with 'industry, teaching, and research experience preferred'. Industry experience is preferred, not required. The candidate has no industry experience, which is a weakness here but does not disqualify.</t>
  </si>
  <si>
    <t xml:space="preserve">Minimum: a Ph.D. or D.B.A. in Management, Organizational Behavior, Human Resource Management, Leadership, or a closely related field from an AACSB-accredited school. The current posting does not say whether ABD applicants are accepted. A 2017 ad for an older requisition (R99613) in the same department did say 'ABD's may be considered'. The job is 9-month, full-time and tenure-track in the Department of Management, Marketing, and Technology, School of Business, College of Business, Health, and Human Services. One aggregator gives a salary of $75k-$95k, which is unverified. Start date not stated.</t>
  </si>
  <si>
    <t xml:space="preserve">Weak (1): management line with no specialty stated, in a Department of Management, Marketing, and Technology, so a technology area is possible but not stated. The candidate's IS teaching (Connected Systems, IT Management) could fit if the line is technology-oriented; confirm. Assistant TT.</t>
  </si>
  <si>
    <t xml:space="preserve">https://www.dreamworkhq.com/job/b6bde5c0-669a-4cdb-b340-fa6c27e1ffef; https://ualr.edu/management/contact-us/; https://jobs.chronicle.com/employer/351623ac-ea4f-41df-9f3c-40a6cb80023b/university-of-arkansas-at-little-rock</t>
  </si>
  <si>
    <t xml:space="preserve">Fit concerns for the candidate: (1) The degree field is Management/OB/HRM/Leadership, and an MIS / Management Science PhD would have to count as 'closely related'. (2) The doctorate is expected June 2027, and the current posting does not say ABDs are considered, so check whether a 2027 start date is allowed. (3) An aggregator lists sponsorship as 'No', though the university does file H-1Bs for some faculty. Look up the official Workday posting for R0089401 to confirm the sponsorship wording and deadline. Sources: dreamworkhq.com/job/b6bde5c0-669a-4cdb-b340-fa6c27e1ffef; jobs.chronicle.com (UA Little Rock employer page); higheredjobs.com/institution/search.cfm?aID=777; myvisajobs.com/employer/university-arkansas-at-little-rock/.</t>
  </si>
  <si>
    <t xml:space="preserve">Texas A&amp;M University-Corpus Christi</t>
  </si>
  <si>
    <t xml:space="preserve">Assistant Professor of Business Economics</t>
  </si>
  <si>
    <t xml:space="preserve">https://careers.conbio.org/job/1317340/assistant-professor-of-business-economics/?TrackID=9</t>
  </si>
  <si>
    <t xml:space="preserve">Department of Decision Sciences and Economics</t>
  </si>
  <si>
    <t xml:space="preserve">The sources conflict. In the 2026-10-15 search summary, one aggregator copy lists a "Closing date: Oct 6, 2026" but also says "the application deadline is listed as November 15th, 2026." The other copy (Chronicle, posted Oct 8, 2026) gives no deadline. An earlier aggregator snippet gave November 30, 2026. A listing posted October 8 cannot have closed on October 6, so that date is probably an aggregator field. November 15, 2026 is the best-supported stated deadline. Confirm it on the official TAMU-CC careers page (tamucc.edu/human-resources/careers).</t>
  </si>
  <si>
    <t xml:space="preserve">Neither the careers.conbio.org (Texas A&amp;M University System, job 1317340) copy nor the Chronicle copy (job 38049563) says anything about visa sponsorship. The search summary states: "None of the results mention whether the university sponsors visas."</t>
  </si>
  <si>
    <t xml:space="preserve">The search results list no industry or professional work experience requirement. The requirements cover teaching experience, research and publication, and technology or data-driven teaching.</t>
  </si>
  <si>
    <t xml:space="preserve">Full-time, 9-month, tenure-track Assistant Professor of Business Economics in the Department of Decision Sciences and Economics, College of Business, starting Fall 2027. Requirements: a doctorate in Economics or a closely related field. Advanced ABD candidates will be considered, but the degree must be conferred by the time of appointment. The posting also asks for "Demonstrated experience teaching Economics and/or closely related business subjects," a record of scholarly research and publication, and "Evidence of integrating emerging technologies or data-driven approaches with regard to teaching." One listing also asks for "High-quality research relating to AI and/or machine learning in Economics." The role includes teaching undergraduate and graduate economics and helping to "launch our new AI-integrated business curriculum." Contact: department chair Dr. Ahmed Kamara (ahmed.kamara@tamucc.edu).</t>
  </si>
  <si>
    <t xml:space="preserve">Weak (1): an economics line, which would be 0, but it is explicitly about applying econometrics, data analytics and AI and about launching an AI-integrated curriculum. That overlaps the candidate's IS economics, causal-inference/econometrics and ML/LLM methods. Risk: business-economics searches usually expect an economics PhD and identity. Assistant TT, Fall 2027 fits.</t>
  </si>
  <si>
    <t xml:space="preserve">https://www.tamucc.edu/human-resources/careers/index.php; https://jobs.chronicle.com/job/38049563/assistant-professor-of-business-economics/?TrackID=10</t>
  </si>
  <si>
    <t xml:space="preserve">R2 research tenure-track role. Fit is limited because the field is Economics. The candidate's PhD is in Management Science (MIS), and it is unclear whether the search committee would count that as "closely related." The AI/ML and data-driven focus could help if the candidate's research is AI/ML-based. The timing works: ABD candidates are accepted, and the candidate expects to finish the PhD in June 2027, before the Fall 2027 start. The posting says nothing about sponsorship, so the candidate should ask the chair about H-1B before applying. Texas A&amp;M System universities are cap-exempt H-1B employers, but no source here confirms sponsorship for this role. The candidate could start on OPT.</t>
  </si>
  <si>
    <t xml:space="preserve">URGENT - priority review date by Oct 18</t>
  </si>
  <si>
    <t xml:space="preserve">DePaul University</t>
  </si>
  <si>
    <t xml:space="preserve">Assistant Professor (Tenure Track) - Management &amp; Entrepreneurship (27-28)</t>
  </si>
  <si>
    <t xml:space="preserve">https://hispanicoutlookjobs.com/job/8420/assistant-professor-tenure-track-management-entrepreneurship-27-28/</t>
  </si>
  <si>
    <t xml:space="preserve">yes (earlier check)</t>
  </si>
  <si>
    <t xml:space="preserve">Department of Management &amp; Entrepreneurship</t>
  </si>
  <si>
    <t xml:space="preserve">Driehaus College of Business</t>
  </si>
  <si>
    <t xml:space="preserve">A candidate aggregator copy (Hispanic Outlook) says review begins immediately, applications received by October 15, 2026 get full consideration (tomorrow), and the search stays open until filled. My searches did not independently show the October 15 date, and no closure sign appeared.</t>
  </si>
  <si>
    <t xml:space="preserve">AY 2027-28</t>
  </si>
  <si>
    <t xml:space="preserve">Fit 0 under the learned rubric (field outside IS / analytics / OM): Not a match. A strategic-management search. The department runs analytics programs, but this line has no technology focus and would need a strategy PhD.</t>
  </si>
  <si>
    <t xml:space="preserve">https://www.higheredjobs.com/institution/search.cfm?University=DePaul+University; https://jobs.chronicle.com/employer/dd71f14c-a244-44c5-9a51-3585dc47c547/depaul-university</t>
  </si>
  <si>
    <t xml:space="preserve">Re-checked with 2 searches. The posting exists in the current cycle (posted 2026-09-09, AY 2027-28 start, ABD considered) and is open until filled with no closure sign. The October 15, 2026 full-consideration date comes only from the candidate's aggregator evidence; my searches did not confirm it. No official DePaul or Interfolio URL appeared.</t>
  </si>
  <si>
    <t xml:space="preserve">Wake Forest University</t>
  </si>
  <si>
    <t xml:space="preserve">Strategic Management Faculty (Advanced Assistant / Associate / Full Professor), R0009028</t>
  </si>
  <si>
    <t xml:space="preserve">2026-10-15</t>
  </si>
  <si>
    <t xml:space="preserve">https://jobs.chronicle.com/employer/3b4a6e45-b584-456e-8b42-5d7ef99a34a6/wake-forest-university/hub/jobs</t>
  </si>
  <si>
    <t xml:space="preserve">School of Business (Strategic Management area)</t>
  </si>
  <si>
    <t xml:space="preserve">Wake Forest University School of Business</t>
  </si>
  <si>
    <t xml:space="preserve">Advanced Assistant, Associate, or Full Professor</t>
  </si>
  <si>
    <t xml:space="preserve">Applications due October 15, 2026 for full consideration; deadline Oct 15, 2026 at 11:59 PM Eastern Time (deadline is today)</t>
  </si>
  <si>
    <t xml:space="preserve">July 1, 2027 (or as negotiated)</t>
  </si>
  <si>
    <t xml:space="preserve">This is a general strategic management line, and the results show no focus on digital platforms or technology. That puts it outside the candidate's IS/MIS field. The candidate's creator economy, platform governance and IS economics research and Management Science (MIS) PhD do not match it. The posting also excludes recent PhDs with less than three years of post-PhD experience, so the candidate (PhD June 2027) would be ineligible. The deadline is today, Oct 15, 2026.</t>
  </si>
  <si>
    <t xml:space="preserve">https://apply.interfolio.com/190372; https://apply.interfolio.com/16449/positions</t>
  </si>
  <si>
    <t xml:space="preserve">Round 3 (Oct 15) discovery only (not separately confirmed)</t>
  </si>
  <si>
    <t xml:space="preserve">Wright State University</t>
  </si>
  <si>
    <t xml:space="preserve">Assistant Professor/Associate Professor - Accounting (tenure-track)</t>
  </si>
  <si>
    <t xml:space="preserve">https://academiccareers.com/job/178060/assistant-professor-associate-professor/</t>
  </si>
  <si>
    <t xml:space="preserve">School of Finance, Accountancy, Management Information Systems and Economics (Accountancy) - department inferred from round-1 unit list; the listing names the college and the accounting field</t>
  </si>
  <si>
    <t xml:space="preserve">Raj Soin College of Business</t>
  </si>
  <si>
    <t xml:space="preserve">One listing shows a closing date of Oct 16, 2026</t>
  </si>
  <si>
    <t xml:space="preserve">Not stated in results (likely Fall 2027 given current-cycle closing date)</t>
  </si>
  <si>
    <t xml:space="preserve">This line is outside the candidate's field. It is a general accounting line with no information systems or AIS emphasis shown. The candidate's PhD is in Management Science (MIS concentration), with no accounting PhD and no CPA. The candidate's research on the creator economy, platform governance, monetization and IS economics, and teaching in connected systems, cloud and Python/ML, do not match an accounting search. Also, the deadline is Oct 16, 2026, so the candidate would have to apply right away.</t>
  </si>
  <si>
    <t xml:space="preserve">https://www.jobleads.com/us/job/assistant-professor-associate-professor-accounting--dayton--ecc2d5a996fba02440bb19cc0fafa5df9</t>
  </si>
  <si>
    <t xml:space="preserve">University of South Dakota</t>
  </si>
  <si>
    <t xml:space="preserve">Assistant Professor (tenure-track) or Assistant Professor of Practice (non-tenure-track) - Accounting (Posting F01944P)</t>
  </si>
  <si>
    <t xml:space="preserve">NOT CHECKED YET - sponsorship / industry experience not verified - CAUTION: "Professor of Practice" titles usually expect industry experience</t>
  </si>
  <si>
    <t xml:space="preserve">https://yourfuture.sdbor.edu/postings/49810</t>
  </si>
  <si>
    <t xml:space="preserve">Beacom School of Business</t>
  </si>
  <si>
    <t xml:space="preserve">Assistant Professor (tenure-track); alternative non-tenure-track Assistant Professor of Practice</t>
  </si>
  <si>
    <t xml:space="preserve">SD</t>
  </si>
  <si>
    <t xml:space="preserve">First consideration date 2026-10-18 (still in the future as of 2026-10-14); open until filled after that</t>
  </si>
  <si>
    <t xml:space="preserve">Fit 0 under the learned rubric (field outside IS / analytics / OM): Not a match: a general accounting line (tenure-track or practice) with no AIS or analytics emphasis. The candidate has no CPA or accounting PhD.</t>
  </si>
  <si>
    <t xml:space="preserve">Verified with 1 extended search limited to yourfuture.sdbor.edu. The official posting 49810 (F01944P) shows a Fall 2027 start, posted 2026-09-18, first consideration 2026-10-18, and open until filled, so it is in the current cycle and still open. Qualification wording (accounting PhD or CPA) was not visible in the summary. The fit score assumes a standard accounting-PhD requirement. No in-scope IS, analytics or OM posting at USD Beacom turned up in this search.</t>
  </si>
  <si>
    <t xml:space="preserve">University of Nebraska Omaha</t>
  </si>
  <si>
    <t xml:space="preserve">Assistant Professor of Accounting (Auditing), posting 2026F-00136</t>
  </si>
  <si>
    <t xml:space="preserve">https://unomaha.peopleadmin.com/postings/25782</t>
  </si>
  <si>
    <t xml:space="preserve">School of Accounting</t>
  </si>
  <si>
    <t xml:space="preserve">NE</t>
  </si>
  <si>
    <t xml:space="preserve">An earlier search found that review began 2026-08-17 (now passed) and that the posting is open until filled. The verification search confirmed the posting and its 2027 start but returned no deadline or review date. Online applications only through UNO PeopleAdmin; email submissions are not accepted.</t>
  </si>
  <si>
    <t xml:space="preserve">Spring 2027 or August 2027</t>
  </si>
  <si>
    <t xml:space="preserve">Fit 0 under the learned rubric (field outside IS / analytics / OM): Not a match: an auditing line, even with data-analytics and AI emphasis, needs an accounting/audit background. The CV has no CPA and no accounting PhD.</t>
  </si>
  <si>
    <t xml:space="preserve">https://unomaha.peopleadmin.com/postings/search?sort=226+desc</t>
  </si>
  <si>
    <t xml:space="preserve">Re-checked with one extended search restricted to unomaha.peopleadmin.com. The official portal confirms the posting exists (2026F-00136, a 2027 start, ABDs considered) and the summary ties it to postings/25782. This search did not re-confirm the deadline or review date; 'open until filled' and the Aug 17, 2026 review start come from the earlier candidate evidence. No closure signs were seen. Category is in scope as accounting analytics, but the required accounting/taxation PhD lowers fit to 1. No other in-scope business-college posting was found.</t>
  </si>
  <si>
    <t xml:space="preserve">University of Akron</t>
  </si>
  <si>
    <t xml:space="preserve">Associate Professor, Accounting (tenure-track, Assistant or Associate Professor; taxation emphasis)</t>
  </si>
  <si>
    <t xml:space="preserve">priority / review date</t>
  </si>
  <si>
    <t xml:space="preserve">Review begins 2026-09-11</t>
  </si>
  <si>
    <t xml:space="preserve">https://uakron.wd1.myworkdayjobs.com/UACareers/job/Akron-Ohio/Associate-Professor--Accounting_JR103021-1</t>
  </si>
  <si>
    <t xml:space="preserve">George W. Daverio School of Accountancy</t>
  </si>
  <si>
    <t xml:space="preserve">The Application Deadline section says review of applications starts September 11, 2026. No final closing date or sign of closure appeared in the results.</t>
  </si>
  <si>
    <t xml:space="preserve">August 2027</t>
  </si>
  <si>
    <t xml:space="preserve">Outside the candidate's field. This is an accounting/taxation line that asks for an accounting PhD/DBA or a JD/MTax. The candidate has a Management Science (MIS) PhD and no CPA. The candidate's research (creator economy, platform governance, IS economics, ML/LLMs) and teaching (connected systems/cloud, Python ML for business, IT management) do not match taxation teaching needs.</t>
  </si>
  <si>
    <t xml:space="preserve">https://www.indeed.com/viewjob?jk=41f7ea84de70cbde</t>
  </si>
  <si>
    <t xml:space="preserve">University of San Diego</t>
  </si>
  <si>
    <t xml:space="preserve">Assistant Professor of Accounting (tenure-track, taxation interest), Posting #5726</t>
  </si>
  <si>
    <t xml:space="preserve">Open until filled (review began 2026-10-01 per round-1 note)</t>
  </si>
  <si>
    <t xml:space="preserve">https://jobs.sandiego.edu/jobs/assistant-professor-of-accounting-san-diego-california-united-states</t>
  </si>
  <si>
    <t xml:space="preserve">Department of Accountancy</t>
  </si>
  <si>
    <t xml:space="preserve">Knauss School of Business</t>
  </si>
  <si>
    <t xml:space="preserve">The search result says interviews begin online in October, with on-campus interviews to follow. The round-1 note recorded review beginning 2026-10-01, open until filled. Nothing seen indicates the posting has closed.</t>
  </si>
  <si>
    <t xml:space="preserve">Outside the candidate's field. This is a tax-accounting line, and the candidate has no CPA and no accounting PhD. The candidate's MIS research (creator economy, platform governance, IS economics; an ISR R&amp;R and an MISQ submission) and IS teaching (Connected Systems for Business, ML for Business) do not match taxation.</t>
  </si>
  <si>
    <t xml:space="preserve">https://jobs.sandiego.edu/cw/en-us/Search/?search-keyword=&amp;category=faculty&amp;subscribe=true</t>
  </si>
  <si>
    <t xml:space="preserve">Assistant Professor of Accounting (Taxation), tenure-track</t>
  </si>
  <si>
    <t xml:space="preserve">This search's results did not show a deadline. Round 1 (Oct 13) recorded that review began 2026-10-01 and the line is open until filled.</t>
  </si>
  <si>
    <t xml:space="preserve">An accounting (tax) line is an 'other business field' under the rubric. It does not match the candidate's MIS / platforms / ML research or teaching profile. Listed only because it is a current-cycle research line in the business school.</t>
  </si>
  <si>
    <t xml:space="preserve">Round 3 job-board sweep (Oct 15)</t>
  </si>
  <si>
    <t xml:space="preserve">California State University, Fresno</t>
  </si>
  <si>
    <t xml:space="preserve">Management Assistant/Associate Professor (tenure-track)</t>
  </si>
  <si>
    <t xml:space="preserve">2027-03-31</t>
  </si>
  <si>
    <t xml:space="preserve">https://careers.fresnostate.edu/</t>
  </si>
  <si>
    <t xml:space="preserve">Department of Management</t>
  </si>
  <si>
    <t xml:space="preserve">Craig School of Business</t>
  </si>
  <si>
    <t xml:space="preserve">Assistant or Associate Professor</t>
  </si>
  <si>
    <t xml:space="preserve">A search summary of the Fresno State careers listing says the posting closes 2027-03-31. The same summary says the listing page's metadata was indexed 'about four years ago', which conflicts with that date. The direct posting page, job ID, review date and start date did not appear in either search. The second, domain-filtered search of careers.fresnostate.edu, careersingovernment.com and csucareers.calstate.edu did not return the posting. | Link check: Closing date March 31, 2027 (per careers listing; page metadata dated)</t>
  </si>
  <si>
    <t xml:space="preserve">Not stated (a 2027-03-31 close would imply an AY 2027-28 / Fall 2027 start)</t>
  </si>
  <si>
    <t xml:space="preserve">Fit 0 under the learned rubric (field outside IS / analytics / OM): Not a match. A general Management line (OB/HR/strategy/entrepreneurship) with no technology focus. Fresno's IS sits in a separate ISDS department with no tenure-track opening found. Nothing in the MIS PhD or IS publications fits.</t>
  </si>
  <si>
    <t xml:space="preserve">https://careers.fresnostate.edu/en-us/search/?search-keyword=&amp;job-mail-subscribe-privacy=agree&amp;work-type=&amp;location=&amp;category=%2Cunit+3+-+cfa+-+california+faculty+association&amp;page=2&amp;page-items=20</t>
  </si>
  <si>
    <t xml:space="preserve">Partly verified. The careers-site summary repeats the 2027-03-31 close date, but the direct posting, job ID and specialty never appeared. Metadata saying the page was indexed about four years ago raises doubt that this is the current cycle. It is kept as likely_open only because of the stated future deadline. Before applying, search careers.fresnostate.edu (Unit 3 CFA faculty category) for the current Management posting and confirm the specialty.</t>
  </si>
  <si>
    <t xml:space="preserve">Azusa Pacific University</t>
  </si>
  <si>
    <t xml:space="preserve">Faculty, Department of Business and Entrepreneurship (Strategic Management/Strategic Foresight Specialization)</t>
  </si>
  <si>
    <t xml:space="preserve">not seen</t>
  </si>
  <si>
    <t xml:space="preserve">https://jobs.silkroad.com/APU/FacultyJobs/jobs/4609</t>
  </si>
  <si>
    <t xml:space="preserve">Department of Business and Entrepreneurship</t>
  </si>
  <si>
    <t xml:space="preserve">School of Business and Management</t>
  </si>
  <si>
    <t xml:space="preserve">The results showed no deadline or closing date. The search summary describes it as an open role on APU's SilkRoad faculty job board.</t>
  </si>
  <si>
    <t xml:space="preserve">Outside the candidate's field. This is a strategic management / strategic foresight line with no technology, platform or analytics focus in the results. The candidate's MIS training (creator economy, platform governance, IS economics, econometrics/ML methods) and teaching in connected systems, cloud and ML for business do not match its specialization. The 'PhD or DBA in a business-related field' requirement would technically admit the candidate's Management Science (MIS) PhD.</t>
  </si>
  <si>
    <t xml:space="preserve">https://www.apu.edu/provost/employment/; https://www.apu.edu/business/faculty/</t>
  </si>
  <si>
    <t xml:space="preserve">Creighton University</t>
  </si>
  <si>
    <t xml:space="preserve">Assistant/Associate/Full Professor of Finance (Open Rank, Tenure Track)</t>
  </si>
  <si>
    <t xml:space="preserve">https://careers.cfainstitute.org/profile/creighton-university/1332659/?srd=u</t>
  </si>
  <si>
    <t xml:space="preserve">Finance (Heider College of Business)</t>
  </si>
  <si>
    <t xml:space="preserve">Heider College of Business</t>
  </si>
  <si>
    <t xml:space="preserve">Open rank (Assistant/Associate/Full)</t>
  </si>
  <si>
    <t xml:space="preserve">No application deadline in the search results. The listing came from the CFA Institute job board, and Creighton's own careers portal was not visible in the results.</t>
  </si>
  <si>
    <t xml:space="preserve">This is a general finance line, outside the candidate's field. The candidate's PhD is in Management Science with an MIS concentration, not finance. The candidate's research is on the creator economy, influencer dynamics, platform governance and IS economics (R&amp;R at ISR, under review at MISQ). Teaching has been in connected systems/cloud, ML for business and IT management. Nothing indicates a FinTech/AI focus that would lift the score to 1.</t>
  </si>
  <si>
    <t xml:space="preserve">https://www.creighton.edu/business/academics/faculty-staff</t>
  </si>
  <si>
    <t xml:space="preserve">Assistant Professor (Tenure Track) - Marketing (27-28)</t>
  </si>
  <si>
    <t xml:space="preserve">https://hispanicoutlookjobs.com/job/8414/assistant-professor-tenure-track-marketing-27-28/</t>
  </si>
  <si>
    <t xml:space="preserve">No deadline or review date appeared in the candidate evidence or my search results.</t>
  </si>
  <si>
    <t xml:space="preserve">Fit 0 under the learned rubric (field outside IS / analytics / OM): Not a match. A marketing line with no stated sub-field (no digital or analytics focus). A marketing PhD is expected; the candidate's is MIS.</t>
  </si>
  <si>
    <t xml:space="preserve">https://careers.insidehighered.com/job/3548247/assistant-professor-tenure-track-marketing-27-28-/; https://jobs.chronicle.com/job/38038132/assistant-professor-tenure-track-marketing-27-28-/</t>
  </si>
  <si>
    <t xml:space="preserve">Not re-checked with a dedicated search. A Business Analytics search incidentally returned the Hispanic Outlook copy confirming the AY 2027-28 cycle. No deadline or closure information was found, so the status is likely_open.</t>
  </si>
  <si>
    <t xml:space="preserve">Florida A&amp;M University</t>
  </si>
  <si>
    <t xml:space="preserve">Assistant Professor (Accounting) (Requisition #17559)</t>
  </si>
  <si>
    <t xml:space="preserve">https://www.higheredjobs.com/institution/search.cfm?aID=2508</t>
  </si>
  <si>
    <t xml:space="preserve">Accounting and Finance (the SBI catalog lists accounting under this department; the posting is titled 'Accounting')</t>
  </si>
  <si>
    <t xml:space="preserve">School of Business and Industry (SBI)</t>
  </si>
  <si>
    <t xml:space="preserve">Assistant Professor, tenure-track (per the ZipRecruiter snippet; not confirmed on the official FAMU posting)</t>
  </si>
  <si>
    <t xml:space="preserve">Neither aggregator copy shows a deadline or review date for requisition 17559 (HigherEdJobs and ZipRecruiter both checked). It is still listed on HigherEdJobs' FAMU institution page and on ZipRecruiter's 'NOW HIRING' pages, crawled around Sep 2026. That suggests it is open or rolling, but no closing date is confirmed. Check the FAMU careers portal by requisition number.</t>
  </si>
  <si>
    <t xml:space="preserve">Fit 0 under the learned rubric (field outside IS / analytics / OM): Not a match. An accounting line with no AIS or analytics emphasis visible. The candidate has no accounting PhD or CPA.</t>
  </si>
  <si>
    <t xml:space="preserve">https://www.ziprecruiter.com/Jobs/Accounting-Professor/--in-Florida; https://www.ziprecruiter.com/Jobs/Famu; https://www.ziprecruiter.com/Jobs/Famu/--in-Florida; https://sbi.famu.edu/</t>
  </si>
  <si>
    <t xml:space="preserve">One extended search was run. It confirmed the requisition exists and is still listed on HigherEdJobs and ZipRecruiter as of about Sep 2026, so it is likely current and active. No official FAMU posting page, deadline, posted date or start date surfaced, so it cannot be confirmed open or confirmed as a 2027-start line. It is borderline in scope: accounting is in scope only as AIS or accounting analytics, and this ad shows neither. Low priority for this candidate.</t>
  </si>
  <si>
    <t xml:space="preserve">Fordham University</t>
  </si>
  <si>
    <t xml:space="preserve">Tenure-Track Faculty: Marketing, Gabelli School of Business</t>
  </si>
  <si>
    <t xml:space="preserve">https://www.fordham.edu/gabelli-school-of-business/faculty/prospective-faculty/</t>
  </si>
  <si>
    <t xml:space="preserve">Marketing Area</t>
  </si>
  <si>
    <t xml:space="preserve">Gabelli School of Business</t>
  </si>
  <si>
    <t xml:space="preserve">Not stated (tenure-track; probably Assistant Professor)</t>
  </si>
  <si>
    <t xml:space="preserve">An aggregator lists the posting as dated 2026-07-13 but shows no deadline or review date. Fordham's earlier Marketing searches used summer or Nov-1 deadlines with rolling review (e.g. July 22, 2024 for a Fall 2025 start). A Gabelli Business Ethics search posted around the same time closed on Oct 1, 2026. So this posting's deadline may already have passed, and the Fordham careers portal should be checked.</t>
  </si>
  <si>
    <t xml:space="preserve">Not stated (posted July 2026, so probably Fall 2027 / AY 2027-28)</t>
  </si>
  <si>
    <t xml:space="preserve">Fit 0 under the learned rubric (field outside IS / analytics / OM): Not a match. Marketing with no confirmed digital or analytics sub-field. A marketing PhD is expected.</t>
  </si>
  <si>
    <t xml:space="preserve">https://www.facultyatlas.org/disciplines/business-and-economics/; https://careers.fordham.edu/postings/search</t>
  </si>
  <si>
    <t xml:space="preserve">One extended search was used. It confirmed through an aggregator snippet that a current-cycle Fordham Gabelli tenure-track Marketing posting exists, dated 2026-07-13, with no deadline and no closure sign. The official posting page and its URL did not appear in the results, so the careers portal search page is given. Status is likely_open rather than confirmed_open because the deadline is unknown and a similar Gabelli search closed on Oct 1, 2026. The search found no in-scope IS or ITO posting at Fordham. A HigherEdJobs '2026 - 2027 Assistant Professor of Marketing' result (JobCode 179186598) is not attributed to Fordham, so it is not merged here. The Gabelli Business Ethics tenure-track search (deadline Oct 1, 2026) is out of scope and closed, so it is not included.</t>
  </si>
  <si>
    <t xml:space="preserve">Georgia Southern University</t>
  </si>
  <si>
    <t xml:space="preserve">Assistant Professor of Finance (tenure-track)</t>
  </si>
  <si>
    <t xml:space="preserve">https://jobs.fma.org/jobs/state/georgia/</t>
  </si>
  <si>
    <t xml:space="preserve">Department of Finance</t>
  </si>
  <si>
    <t xml:space="preserve">Parker College of Business</t>
  </si>
  <si>
    <t xml:space="preserve">No deadline or review date appeared in the search result. The listing was shown as 'posted 30+ days ago' on the FMA board.</t>
  </si>
  <si>
    <t xml:space="preserve">not seen (likely August 2027, given other Georgia Southern postings in the same cycle)</t>
  </si>
  <si>
    <t xml:space="preserve">This is a finance line, which is outside the candidate's field. The candidate's PhD is in Management Science (MIS concentration), with research on the creator economy, platform governance and IS economics, and teaching in connected systems, cloud and ML for business. The candidate has no finance PhD and no CPA, and nothing in the snippet points to a FinTech or AI focus that would raise the score.</t>
  </si>
  <si>
    <t xml:space="preserve">Illinois State University</t>
  </si>
  <si>
    <t xml:space="preserve">Assistant Professor of Marketing (tenure-track)</t>
  </si>
  <si>
    <t xml:space="preserve">https://jobsearch.illinoisstate.edu/jobs/assistant-professor-of-marketing-normal-illinois-illinois-united-states-a49dff05-3130-41cf-acfc-7b244b9a3099</t>
  </si>
  <si>
    <t xml:space="preserve">Marketing</t>
  </si>
  <si>
    <t xml:space="preserve">Neither the original snippet nor the verification search showed a deadline or review date. The start date is also disputed: the original snippet said Fall 2027, but the only Marketing posting the verification search found starts August 16, 2026 (prior cycle). | Link check: Application date August 15, 2026, open until filled (per Chronicle copy). Official ISU page shows a validity date of November 20, 2026.</t>
  </si>
  <si>
    <t xml:space="preserve">Disputed: Fall 2027 per original snippet; August 16, 2026 per the posting found in verification</t>
  </si>
  <si>
    <t xml:space="preserve">Fit 0 under the learned rubric (field outside IS / analytics / OM): Not a match. Marketing with no analytics, digital or social-media emphasis. The start date is disputed and possibly Aug 2026, already past.</t>
  </si>
  <si>
    <t xml:space="preserve">https://www.higheredjobs.com/institution/search.cfm?University=Illinois+State+University; https://jobsearch.illinoisstate.edu/jobs/search; https://careers.insidehighered.com/jobs/business-and-management/illinois/; https://jobsearch.illinoisstate.edu/en-us/filter/?category=faculty</t>
  </si>
  <si>
    <t xml:space="preserve">Conflicting evidence. The original snippet quoted a Fall 2027 start, but the one verification search found only an August 16, 2026-start Marketing posting (prior cycle) and no Fall 2027 Marketing ad. I kept it as likely_open with low confidence because the original quote names a 2027 start. If the live ISU posting shows the 08/16/2026 start, treat it as closed. No deadline was found.</t>
  </si>
  <si>
    <t xml:space="preserve">Jackson State University</t>
  </si>
  <si>
    <t xml:space="preserve">Assistant/Associate Professor of Accounting (tenure-track)</t>
  </si>
  <si>
    <t xml:space="preserve">https://www.indeed.com/q-Jackson-State-University-jobs.html</t>
  </si>
  <si>
    <t xml:space="preserve">Department of Accounting</t>
  </si>
  <si>
    <t xml:space="preserve">MS</t>
  </si>
  <si>
    <t xml:space="preserve">No deadline or review date appeared in the search results (only an aggregator listing was seen)</t>
  </si>
  <si>
    <t xml:space="preserve">This line is in accounting, outside the candidate's field. The candidate's PhD is in Management Science (MIS concentration), with research on the creator economy, platform governance and IS economics (ISR R&amp;R, MISQ under review) and teaching in connected systems, cloud and ML for business. The candidate has no CPA and no accounting PhD, which accounting search committees usually expect.</t>
  </si>
  <si>
    <t xml:space="preserve">https://www.indeed.com/q-jackson-state-university-professor-jobs.html; https://www.jsums.edu/hr/employment-opportunities/</t>
  </si>
  <si>
    <t xml:space="preserve">Assistant/Associate Professor of Entrepreneurship</t>
  </si>
  <si>
    <t xml:space="preserve">not stated in results (College of Business)</t>
  </si>
  <si>
    <t xml:space="preserve">This line is in entrepreneurship and shows no technology or digital-platform focus, so it is outside the candidate's field. The candidate's creator-economy and monetization research (subscriptions, sponsorships, influencer dynamics) touches digital entrepreneurship. But the posting as summarized does not mention platforms or technology, and the candidate's training and teaching (Connected Systems for Business, ML for Business with Python) are in IS, not entrepreneurship.</t>
  </si>
  <si>
    <t xml:space="preserve">James Madison University</t>
  </si>
  <si>
    <t xml:space="preserve">Assistant Professor, Entrepreneurship and/or Strategic Management</t>
  </si>
  <si>
    <t xml:space="preserve">https://jobs.jmu.edu/jobs/assistant-professor-entrepreneurship-and-or-strategic-management-department-of-management-harrisonburg-virginia-united-states</t>
  </si>
  <si>
    <t xml:space="preserve">Assistant Professor (tenure-track; advanced Assistant Professors also encouraged)</t>
  </si>
  <si>
    <t xml:space="preserve">The posting gives a Beginning Review Date of 09/01/2026. That date has passed. No closing date appears in the results, so review is presumably ongoing until the position is filled. ABD applicants will be considered if the degree is in hand by December 2027. The PhD must be in Business Administration or a closely related field, and a business doctorate must come from an AACSB-accredited school.</t>
  </si>
  <si>
    <t xml:space="preserve">Fall 2027 (August 2027)</t>
  </si>
  <si>
    <t xml:space="preserve">Fit 0 under the learned rubric (field outside IS / analytics / OM): Entrepreneurship/strategic management with no technology focus; outside the candidate's MIS field (creator economy, IS economics) and IS teaching record. Not a match.</t>
  </si>
  <si>
    <t xml:space="preserve">One extended search was run (jobs.jmu.edu only). The official posting is still listed and shows the current cycle: Fall/Aug 2027 start, review beginning 09/01/2026. No closing date or 'open until filled' wording was visible, and there is no sign it is closed. Status is likely_open because the review date has passed and no explicit deadline was found; apply promptly. The same search found no Fall 2027 Computer Information Systems or Business Analytics faculty posting at JMU. Other JMU College of Business listings appeared in the results with cycle and dates unverified, so they are not added: Assistant Professor, Department of Marketing; Assistant Professor of Management (Strategic Management and/or Management Consulting); Assistant Professor of Management (Organizational Behavior); and Visiting Assistant Professor postings in Management and in Finance and Business Law. These are outside the candidate's core IS area or of unknown cycle. The Marketing posting may be worth a manual check if it mentions digital or social-media marketing.</t>
  </si>
  <si>
    <t xml:space="preserve">Loyola Marymount University</t>
  </si>
  <si>
    <t xml:space="preserve">Tenure Track Assistant Professor, Finance</t>
  </si>
  <si>
    <t xml:space="preserve">https://www.higheredjobs.com/faculty/details.cfm?JobCode=179489839</t>
  </si>
  <si>
    <t xml:space="preserve">Finance</t>
  </si>
  <si>
    <t xml:space="preserve">Search results gave no deadline. The listing had been up about 101 days (posted around early July 2026), and the summary said it 'may already be near closing'. Materials go to the department; contact cba.finance@lmu.edu.</t>
  </si>
  <si>
    <t xml:space="preserve">2027-08-15</t>
  </si>
  <si>
    <t xml:space="preserve">Outside the candidate's field. The line requires a PhD in Finance or a closely related field. The candidate's Management Science (MIS) PhD and research on the creator economy, platform governance and IS economics, using econometrics and ML/LLMs, are in information systems, not finance. The candidate also does not hold a finance PhD.</t>
  </si>
  <si>
    <t xml:space="preserve">https://tsenta.com/jobs/loyola-marymount-university-tenure-track-assistant-professor-finance-9a7081d2-4939-413c-8cf9-3599ec6ef802; https://www.ziprecruiter.com/co/Loyola-Marymount-University/Jobs/Professor</t>
  </si>
  <si>
    <t xml:space="preserve">Assistant Professor of Management, nine-month tenure-track, 2 positions (posting MU1830F; Banner position 000360)</t>
  </si>
  <si>
    <t xml:space="preserve">Management &amp; Health Care Administration (MU2330)</t>
  </si>
  <si>
    <t xml:space="preserve">The official PeopleAdmin record shows an open date of 05/12/2026, open until filled, with no fixed close date. Start is January 2027 or August 2027, depending on the candidate's availability. | Link check: Open until filled (open date 05/12/2026 per prior evidence); start January or August 2027</t>
  </si>
  <si>
    <t xml:space="preserve">January 2027 or August 2027</t>
  </si>
  <si>
    <t xml:space="preserve">Fit 0 under the learned rubric (field outside IS / analytics / OM): Management lines in OB, HRM, strategy or healthcare management; no IS/technology content for the candidate's MIS profile. Not a match.</t>
  </si>
  <si>
    <t xml:space="preserve">https://marshall.peopleadmin.com/postings/search?utf8=%E2%9C%93&amp;query=&amp;query_v0_posted_at_date=&amp;query_position_type_id=3&amp;commit=Search</t>
  </si>
  <si>
    <t xml:space="preserve">The official portal text confirms posting MU1830F: 2 tenure-track positions, opened 2026-05-12, open until filled, start January or August 2027, with no sign of closure. The exact posting-ID URL could not be mapped with certainty. Results included postings 31909, 32142, 32194, 33186 and 27555, but the summary did not say which one this is, so the URL given is the faculty search listing page. The earlier guess of 32501 or 32076 was not supported. The required field (PhD in Management) and preferred areas (OB, HRM, strategy, healthcare) make this a weak fit.</t>
  </si>
  <si>
    <t xml:space="preserve">Portland State University</t>
  </si>
  <si>
    <t xml:space="preserve">Assistant Professor in Accounting (Tenure-Track)</t>
  </si>
  <si>
    <t xml:space="preserve">Open until finalists identified</t>
  </si>
  <si>
    <t xml:space="preserve">https://www.jobleads.com/us/job/tenure-track-accounting-professor-research-teaching-online--portland--e9ebd94100195c08eac87f7d15845a1ce</t>
  </si>
  <si>
    <t xml:space="preserve">Accounting (coded to SBA Instruction)</t>
  </si>
  <si>
    <t xml:space="preserve">The School of Business, Portland State University</t>
  </si>
  <si>
    <t xml:space="preserve">OR</t>
  </si>
  <si>
    <t xml:space="preserve">Listed as open until finalists are identified; no fixed closing date was seen in the results.</t>
  </si>
  <si>
    <t xml:space="preserve">2027-09-16</t>
  </si>
  <si>
    <t xml:space="preserve">This job is outside the candidate's field. It is an accounting line that requires a terminal degree in Accounting, a CPA/CMA and public accounting experience. The candidate's PhD is in Management Science (MIS concentration). The candidate's research is in IS (creator economy, platform governance, IS economics). The candidate has no CPA, no accounting PhD and no industry experience. The candidate's teaching (connected systems/cloud, ML for business, IT management) has no accounting component.</t>
  </si>
  <si>
    <t xml:space="preserve">https://jobs.hrc.pdx.edu/postings/search?commit=Search&amp;query_organizational_tier_2_id=any&amp;query_position_type_id=3&amp;sort=1035+asc&amp;utf8=%E2%9C%93; https://jobs.hrc.pdx.edu/postings/search; https://www.indeed.com/q-business-professor-l-portland,-or-jobs.html</t>
  </si>
  <si>
    <t xml:space="preserve">Assistant/Associate/Full Professor Position in International Business -- Management &amp; Global Business (Posting 26FA0721)</t>
  </si>
  <si>
    <t xml:space="preserve">https://jobs.rutgers.edu/postings/281993</t>
  </si>
  <si>
    <t xml:space="preserve">Management &amp; Global Business</t>
  </si>
  <si>
    <t xml:space="preserve">Rutgers Business School - Newark and New Brunswick</t>
  </si>
  <si>
    <t xml:space="preserve">Open rank: Assistant / Associate / Full Professor (tenure-track or tenured)</t>
  </si>
  <si>
    <t xml:space="preserve">Not re-checked. The earlier evidence gives a posting open date of 08/11/2026 for a Fall 2027 start but no closing date.</t>
  </si>
  <si>
    <t xml:space="preserve">Not re-checked. The earlier evidence did not mention visa sponsorship.</t>
  </si>
  <si>
    <t xml:space="preserve">Not re-checked. The earlier evidence lists only a doctoral degree (granted or ABD) in management, international business, or a related field.</t>
  </si>
  <si>
    <t xml:space="preserve">Open rank (Assistant/Associate/Full), tenure-track or tenured, starting Fall 2027. Requires a doctoral degree in management, international business, or a related field, granted or nearly completed (ABD). Minimum salary $180,000.</t>
  </si>
  <si>
    <t xml:space="preserve">This international business / management line is outside the candidate's field. The candidate's MIS research (creator economy, platform governance, IS economics) and IS/analytics teaching do not match the required doctorate in management or international business.</t>
  </si>
  <si>
    <t xml:space="preserve">Not re-checked; the single search focused on p0. Fit score is 0: International Business in Management &amp; Global Business is outside the candidate's field.</t>
  </si>
  <si>
    <t xml:space="preserve">Saint Joseph's University</t>
  </si>
  <si>
    <t xml:space="preserve">Assistant Professor, Management (Organizational Behavior/Human Resources; tenure-track)</t>
  </si>
  <si>
    <t xml:space="preserve">https://sju.wd1.myworkdayjobs.com/en-US/SJU/job/Assistant-Professor--Management_JR101164</t>
  </si>
  <si>
    <t xml:space="preserve">Erivan K. Haub School of Business</t>
  </si>
  <si>
    <t xml:space="preserve">No deadline seen in search results; check the Workday posting JR101164 for status</t>
  </si>
  <si>
    <t xml:space="preserve">This line is outside the candidate's field. It asks for a doctorate with a major or emphasis in OB/HR (ethics/diversity preferred). The candidate's PhD is Management Science with an MIS concentration, and the research (creator economy, influencer dynamics, platform governance, monetization, IS economics, causal inference, ML/LLMs) and teaching (connected systems/cloud, ML for business in Python, IT management) are IS/analytics, not OB/HR. The ABD timing would work (PhD June 2027, start August 2027, within six months of graduation), but the field does not match.</t>
  </si>
  <si>
    <t xml:space="preserve">https://workopia.io/jobs/8556a0b160b0f45c9df2eff55e68e48e</t>
  </si>
  <si>
    <t xml:space="preserve">Seton Hall University</t>
  </si>
  <si>
    <t xml:space="preserve">Assistant Professor of Computer Science (Tenure-Track)</t>
  </si>
  <si>
    <t xml:space="preserve">Not shown in search results</t>
  </si>
  <si>
    <t xml:space="preserve">https://jobs.chronicle.com/job/38043473/assistant-professor-of-computer-science/</t>
  </si>
  <si>
    <t xml:space="preserve">Department of Mathematics and Computer Science</t>
  </si>
  <si>
    <t xml:space="preserve">College of Arts and Sciences</t>
  </si>
  <si>
    <t xml:space="preserve">The search results showed no application deadline or review-start date. The posting was dated 2026-09-24, about three weeks before today, so it is probably still open. Confirm on the Chronicle listing or jobs.shu.edu.</t>
  </si>
  <si>
    <t xml:space="preserve">Re-scored 0 under the learned rubric: systems-oriented CS line (cloud/edge, cyber-physical, AI systems) in Arts &amp; Sciences, not IS / HCI / social computing. This is a research line in a non-business CS department in Arts &amp; Sciences, and its core areas are systems-oriented (cloud/edge, CPS, AI systems), not IS, HCI or social computing. It overlaps partly with the candidate's teaching in cloud, connected systems and ML, and with the possible data-science teaching. But the candidate's MIS research (platforms, misinformation, econometrics, LLMs) is outside the department's stated priority areas. The PhD-by-start requirement works with the candidate's expected June 2027 PhD and the August 2027 start.</t>
  </si>
  <si>
    <t xml:space="preserve">South Carolina State University</t>
  </si>
  <si>
    <t xml:space="preserve">https://careers.scsu.edu/en/listing/?page=2&amp;page-items=20</t>
  </si>
  <si>
    <t xml:space="preserve">Department of Business Administration &amp; Information Systems</t>
  </si>
  <si>
    <t xml:space="preserve">College of Business and Information Systems</t>
  </si>
  <si>
    <t xml:space="preserve">SC</t>
  </si>
  <si>
    <t xml:space="preserve">Search results showed no deadline or posting date (the listing was undated). The only sign it is current is that it appears on the careers.scsu.edu listing pages.</t>
  </si>
  <si>
    <t xml:space="preserve">General marketing line in the business college: rubric score 0 (other business field). Nothing in the results ties it to digital, analytics or IS, so it does not match the candidate's MIS / platforms / ML profile. Reported only because the brief asks for every business-field research line.</t>
  </si>
  <si>
    <t xml:space="preserve">https://careers.scsu.edu/en/Search/?search-keyword=&amp;category=Faculty&amp;g-recaptcha-response=&amp;subscribe=true</t>
  </si>
  <si>
    <t xml:space="preserve">Tarleton State University</t>
  </si>
  <si>
    <t xml:space="preserve">Assistant Professor Tenure-Track of Accounting</t>
  </si>
  <si>
    <t xml:space="preserve">https://jobs.chronicle.com/job/38033422/assistant-professor-tenure-track-of-accounting/?TrackID=10</t>
  </si>
  <si>
    <t xml:space="preserve">Department of Accounting, Finance, and Economics</t>
  </si>
  <si>
    <t xml:space="preserve">Dr. Sam Pack College of Business</t>
  </si>
  <si>
    <t xml:space="preserve">Assistant Professor (tenure-track, 9-month)</t>
  </si>
  <si>
    <t xml:space="preserve">No deadline appeared in the search results. The search summary gives a posting date of Sep 3, 2026 and shows no sign the job has closed.</t>
  </si>
  <si>
    <t xml:space="preserve">not seen (likely Fall 2027 given the Sep 2026 posting)</t>
  </si>
  <si>
    <t xml:space="preserve">This is outside the candidate's field. It is a straight accounting line with no IS component. The candidate has no accounting PhD and no CPA. The candidate's research (creator economy, platform governance, IS economics with causal inference and ML/LLMs) and teaching (connected systems/cloud, ML for business in Python) do not match an accounting appointment.</t>
  </si>
  <si>
    <t xml:space="preserve">Assistant Professor Tenure-Track of Real Estate</t>
  </si>
  <si>
    <t xml:space="preserve">https://tamus.wd1.myworkdayjobs.com/en-US/System-wide_External/job/Assistant-Professor-Tenure-Track-of-Real-Estate_R-093884-1</t>
  </si>
  <si>
    <t xml:space="preserve">No deadline appeared in the search results. The search summary calls the posting 'about 128 days old, so it may be closed'. That would mean it was posted around June 2026, at the edge of the current cycle, and it may still be open until filled.</t>
  </si>
  <si>
    <t xml:space="preserve">This is outside the candidate's field. The line requires a doctorate in real estate, finance or a closely related discipline. The candidate's Management Science (MIS) PhD, IS economics and creator-economy research, and teaching in cloud, IoT and Python/ML do not meet that requirement.</t>
  </si>
  <si>
    <t xml:space="preserve">Texas Christian University</t>
  </si>
  <si>
    <t xml:space="preserve">Assistant Professor of Management (Strategic Management)</t>
  </si>
  <si>
    <t xml:space="preserve">https://jobs.tcu.edu/jobs/assistant-professor-of-management-tcu-main-campus-texas-united-states</t>
  </si>
  <si>
    <t xml:space="preserve">Department of Management and Leadership</t>
  </si>
  <si>
    <t xml:space="preserve">M.J. Neeley School of Business</t>
  </si>
  <si>
    <t xml:space="preserve">The official posting says 'Application Deadline: until filled'. Review of applications began immediately and continues until the position is filled. A Glassdoor copy carries a 'validThrough' date of 2027-01-31, but that is aggregator metadata, not a TCU deadline. Apply electronically through the TCU HR system.</t>
  </si>
  <si>
    <t xml:space="preserve">Fit 0 under the learned rubric (field outside IS / analytics / OM): Not a match: a strategic management line with no technology or digital-platform focus. The candidate's IS research on the creator economy and platform governance would not be read as a strategy job-market paper.</t>
  </si>
  <si>
    <t xml:space="preserve">https://jobs.chronicle.com/job/38009473/assistant-professor-of-management/; https://www.glassdoor.com/job-listing/assistant-professor-of-management-tcu-JV_IC1139993_KO0,33_KE34,37.htm?jl=1010190620885; https://jobs.phdproject.org/jobs/394640907-assistant-professor-of-strategic-management-at-tcu-careers; https://jobs.tcu.edu/jobs/search/faculty-neeley</t>
  </si>
  <si>
    <t xml:space="preserve">Re-checked (search 1). The official TCU posting confirms the Fall 2027 start, the 'until filled' deadline and the doctorate-by-August-2027 requirement, with no sign of closure. The July 2026 opening date makes it current cycle. Scope is borderline: plain strategy, no digital-platform focus.</t>
  </si>
  <si>
    <t xml:space="preserve">Texas Woman's University</t>
  </si>
  <si>
    <t xml:space="preserve">Assistant Professor - College of Business Management &amp; Marketing (Business Management, Strategy emphasis), posting #12376</t>
  </si>
  <si>
    <t xml:space="preserve">https://www.higheredjobs.com/details.cfm?JobCode=179382837</t>
  </si>
  <si>
    <t xml:space="preserve">Department of Management &amp; Marketing (Business Management, Strategy emphasis), Denton</t>
  </si>
  <si>
    <t xml:space="preserve">Merrilee Alexander Kick College of Business and Entrepreneurship</t>
  </si>
  <si>
    <t xml:space="preserve">Review of applications begins immediately, according to the 2026-10-14 search. Earlier candidate evidence gave a preference date of 2026-07-31. That date has passed, but the posting says it remains open until filled. My searches showed no fixed closing date. Required materials are a CV, graduate transcripts, a cover letter and three references, sent to search chair Dr. Lee Brown.</t>
  </si>
  <si>
    <t xml:space="preserve">Fit 0 under the learned rubric (field outside IS / analytics / OM): Not a match: business management / strategy line with no digital or technology focus. The candidate's IS research and teaching would not be competitive here.</t>
  </si>
  <si>
    <t xml:space="preserve">https://twu.edu/business/positions/</t>
  </si>
  <si>
    <t xml:space="preserve">Re-checked on 2026-10-14 with 2 extended searches. The HigherEdJobs posting #12376 still appears, with a Fall 2027 start, rolling review ('review begins immediately', open until filled) and an ABD-near-completion clause. There is no sign of closure. I did not see the official TWU HR posting URL or the posted date in the results. Confidence is medium (aggregator plus a summary of the official college page).</t>
  </si>
  <si>
    <t xml:space="preserve">University of Puerto Rico-Mayaguez</t>
  </si>
  <si>
    <t xml:space="preserve">Assistant Professor – ADEM (Posting 24-46, Amendment to Reopening)</t>
  </si>
  <si>
    <t xml:space="preserve">https://www.uprm.edu/empleos/en/</t>
  </si>
  <si>
    <t xml:space="preserve">Not stated (college-level ADEM posting; the area is not given in the results)</t>
  </si>
  <si>
    <t xml:space="preserve">College of Business Administration (ADEM)</t>
  </si>
  <si>
    <t xml:space="preserve">Assistant Professor (Catedrático Auxiliar); tenure-track status not stated in the results</t>
  </si>
  <si>
    <t xml:space="preserve">PR</t>
  </si>
  <si>
    <t xml:space="preserve">The UPRM jobs index (uprm.edu/empleos/en) lists '24-46 Assistant Professor – ADEM – Amendment to Reopening, College of Business Administration' with a date of June 15, 2026. The posting body, closing date and start date did not appear in the results. UPR faculty calls usually have short fixed application windows, so a call amended in June 2026 may have closed by October 2026. Confirm with recruitment.adem@uprm.edu.</t>
  </si>
  <si>
    <t xml:space="preserve">Fit 0 under the learned rubric (field outside IS / analytics / OM): Not a match on current evidence: the area is unstated, and the linked calls are Finance and Accounting. No MIS or analytics area is mentioned. Re-check only if the posting turns out to be MIS.</t>
  </si>
  <si>
    <t xml:space="preserve">https://sites.google.com/uprm.edu/ademjobs/home</t>
  </si>
  <si>
    <t xml:space="preserve">One extended search re-confirmed that the posting exists on the official UPRM jobs index, dated June 15, 2026. That date is after June 1, 2026, so it counts as the current cycle by posting date. No deadline, area, start date or closure notice was found, so the status is likely_open with low confidence. The fixed-window practice for UPR calls makes closure plausible.</t>
  </si>
  <si>
    <t xml:space="preserve">Assistant, Associate, or Full Professor of Finance (open rank), Posting #5702</t>
  </si>
  <si>
    <t xml:space="preserve">Not shown in results (round-1 note treated it as current-cycle and open)</t>
  </si>
  <si>
    <t xml:space="preserve">Open rank (Assistant / Associate / Full)</t>
  </si>
  <si>
    <t xml:space="preserve">The results show no deadline or review date. Round 1 identified it as a current-cycle open posting, and nothing seen indicates it has closed.</t>
  </si>
  <si>
    <t xml:space="preserve">not shown (likely Fall 2027)</t>
  </si>
  <si>
    <t xml:space="preserve">Outside the candidate's field. The line asks for a PhD in Finance, and the candidate is finishing a Management Science (MIS) PhD with no finance PhD. The candidate's work on creator monetization and IS economics is not finance research.</t>
  </si>
  <si>
    <t xml:space="preserve">University of West Florida</t>
  </si>
  <si>
    <t xml:space="preserve">Assistant Professor, Accounting/Finance (Position 110450, Req 496591)</t>
  </si>
  <si>
    <t xml:space="preserve">https://careers.uwf.edu/jobs/search/all-faculty</t>
  </si>
  <si>
    <t xml:space="preserve">Department of Accounting &amp; Finance</t>
  </si>
  <si>
    <t xml:space="preserve">Lewis Bear, Jr. College of Business</t>
  </si>
  <si>
    <t xml:space="preserve">The search results showed no closing date. The line may be open until filled, but this is not confirmed.</t>
  </si>
  <si>
    <t xml:space="preserve">This is an accounting/finance line, which is outside the candidate's field. The candidate has no CPA and no accounting or finance PhD. The candidate's MIS research (influencer dynamics, monetization, misinformation and platform governance) and teaching (connected systems and cloud, ML for business) do not match an accounting or finance search.</t>
  </si>
  <si>
    <t xml:space="preserve">https://jobs.chronicle.com/employer/1786afb1-7886-4b55-967c-abda0443695b/university-of-west-florida</t>
  </si>
  <si>
    <t xml:space="preserve">Assistant Professor, Accounting &amp; Finance (Position 107550, Req 496461)</t>
  </si>
  <si>
    <t xml:space="preserve">This is an accounting/finance line, which is outside the candidate's field. A CPA or an accounting or finance doctorate is typically expected, and the candidate has neither. The candidate's IS work on the creator economy, IS economics and multimodal ML does not fit.</t>
  </si>
  <si>
    <t xml:space="preserve">Finance Faculty (Advanced Assistant / Associate Professor), R0009091</t>
  </si>
  <si>
    <t xml:space="preserve">School of Business (Finance area)</t>
  </si>
  <si>
    <t xml:space="preserve">Advanced Assistant or Associate Professor</t>
  </si>
  <si>
    <t xml:space="preserve">No deadline seen in the results. The posting appeared current in the October 2026 results.</t>
  </si>
  <si>
    <t xml:space="preserve">This is a finance line, and the results show no FinTech or AI focus. That puts it outside the candidate's field. The candidate has a Management Science (MIS) PhD and works on IS research (creator economy, platform monetization, misinformation), with no finance PhD. The posting also excludes recent PhDs with less than three years of post-PhD experience, so the candidate (PhD June 2027) would be ineligible.</t>
  </si>
  <si>
    <t xml:space="preserve">https://apply.interfolio.com/190372; https://jobs.fma.org/jobs/?keywords=wake+forest+university</t>
  </si>
  <si>
    <t xml:space="preserve">West Chester University</t>
  </si>
  <si>
    <t xml:space="preserve">Tenure-Track Assistant/Associate Professor, Marketing (part of WCU 'Tenure Track Positions Fall 2027' umbrella listing)</t>
  </si>
  <si>
    <t xml:space="preserve">https://jobs.chronicle.com/job/38027873/tenure-track-positions-fall-2027/</t>
  </si>
  <si>
    <t xml:space="preserve">College of Business and Public Management</t>
  </si>
  <si>
    <t xml:space="preserve">The Chronicle umbrella listing was posted 2026-08-20. Its listing validity ends 2026-10-20, which is probably the listing's expiry, not an application deadline. The individual Marketing job number, review-begin date and closing date on governmentjobs.com/careers/wcupa did not show up in two targeted searches; the only WCU business-marketing bulletin indexed is the 2020 job 19-204 (closing 'Continuous'). WCU faculty postings usually say review begins on a date and continues until filled. Check the official portal before applying.</t>
  </si>
  <si>
    <t xml:space="preserve">Fit 0 under the learned rubric (field outside IS / analytics / OM): Not a match: a marketing line with no stated sub-area. The department's past digital-marketing search required a marketing PhD or DBA.</t>
  </si>
  <si>
    <t xml:space="preserve">The umbrella Fall 2027 listing is confirmed (Chronicle, posted 2026-08-20; listing validity runs to 2026-10-20, after today) and names Marketing in CBPM. The individual governmentjobs.com bulletin and its closing date were not found in 2 searches, so the deadline is unverified. There are no signs of closure. Marked likely_open with medium confidence.</t>
  </si>
  <si>
    <t xml:space="preserve">Assistant/Associate Professor - Marketing (posting F301P)</t>
  </si>
  <si>
    <t xml:space="preserve">https://www.wmujobs.org/postings/5013</t>
  </si>
  <si>
    <t xml:space="preserve">Search results show no closing date or review date for F301P</t>
  </si>
  <si>
    <t xml:space="preserve">not seen (possibly Fall 2027, not confirmed)</t>
  </si>
  <si>
    <t xml:space="preserve">Outside the candidate's field. This is a general marketing line, and the candidate holds a Management Science (MIS) PhD with no marketing PhD. The candidate's creator-economy and influencer research (sponsorships, monetization on video platforms) touches marketing topics, but the line shows no digital, social-media or analytics emphasis that would raise the score. Listed only because it is the only possibly current research line found at WMU's business school.</t>
  </si>
  <si>
    <t xml:space="preserve">https://westernmichigan-sb.peopleadmin.com/postings/search?commit=Search&amp;query_position_type_id%5B%5D=3&amp;sort=226+asc&amp;utf8=%E2%9C%93; https://www.wmujobs.org/postings/search</t>
  </si>
  <si>
    <t xml:space="preserve">Wichita State University</t>
  </si>
  <si>
    <t xml:space="preserve">Assistant Professor of Economics (tenure-track)</t>
  </si>
  <si>
    <t xml:space="preserve">https://jobs.chronicle.com/job/38045655/assistant-professor-of-economics/</t>
  </si>
  <si>
    <t xml:space="preserve">Department of Economics</t>
  </si>
  <si>
    <t xml:space="preserve">W. Frank Barton School of Business</t>
  </si>
  <si>
    <t xml:space="preserve">KS</t>
  </si>
  <si>
    <t xml:space="preserve">No application deadline appeared in the search results; check jobs.wichita.edu faculty search for current status.</t>
  </si>
  <si>
    <t xml:space="preserve">Outside the candidate's field. The line requires a PhD in Economics, while the candidate's PhD is in Management Science (MIS concentration). The candidate's IS-economics work and econometrics/causal-inference methods overlap only partly, and the June 2027 ABD timing matches the candidate's expected degree date.</t>
  </si>
  <si>
    <t xml:space="preserve">https://jobs.wichita.edu/jobs/search/faculty-search</t>
  </si>
  <si>
    <t xml:space="preserve">Assistant Professor of Accounting (tenure-track)</t>
  </si>
  <si>
    <t xml:space="preserve">https://jobs.chronicle.com/job/38043131/assistant-professor-of-accounting/</t>
  </si>
  <si>
    <t xml:space="preserve">No deadline seen for this copy. A parallel Accounting posting (Assistant or Associate rank, same Aug 8, 2027 start) lists a closing date of Sep 22, 2026, so this line may already be closed. Verify on jobs.wichita.edu.</t>
  </si>
  <si>
    <t xml:space="preserve">August 8, 2027</t>
  </si>
  <si>
    <t xml:space="preserve">Outside the candidate's field. This is an accounting line with no IS component. The candidate has no accounting PhD or CPA, and the candidate's research (creator economy, platform governance, IS economics) and teaching (connected systems, ML for business) are in MIS.</t>
  </si>
  <si>
    <t xml:space="preserve">https://careercenter.aaahq.org/job/258911/assistant-associate-full-professor/; https://jobs.wichita.edu/jobs/search/faculty-search</t>
  </si>
  <si>
    <t xml:space="preserve">Assistant Professor of Real Estate (tenure-track)</t>
  </si>
  <si>
    <t xml:space="preserve">https://jobs.chronicle.com/job/38043137/assistant-professor-of-real-estate/</t>
  </si>
  <si>
    <t xml:space="preserve">Department of Finance, Real Estate, and Decision Sciences</t>
  </si>
  <si>
    <t xml:space="preserve">No application deadline appeared in the search results; check jobs.wichita.edu for current status.</t>
  </si>
  <si>
    <t xml:space="preserve">Outside the candidate's field. The line requires a PhD in Real Estate Finance or Economics, while the candidate's degree is Management Science/MIS, with research on video-platform creators, online communities and monetization.</t>
  </si>
  <si>
    <t xml:space="preserve">https://www.archyde.com/assistant-professor-of-real-estate-wichita-state-university-job-opening/; https://jobs.wichita.edu/jobs/search/faculty-search</t>
  </si>
  <si>
    <t xml:space="preserve">Assistant Professor of Industrial Engineering (tenure-track)</t>
  </si>
  <si>
    <t xml:space="preserve">Industrial, Systems, and Manufacturing Engineering</t>
  </si>
  <si>
    <t xml:space="preserve">College of Engineering</t>
  </si>
  <si>
    <t xml:space="preserve">The search result gave no deadline or review date.</t>
  </si>
  <si>
    <t xml:space="preserve">Re-scored 0 under the learned rubric: engineering-college line, not a business-school or IS-adjacent line. This is an engineering-unit IE line, not IS or analytics in a business school. It overlaps only loosely with operations or management science. Engineering departments usually expect engineering credentials, so the fit for the candidate's MIS, platforms and ML profile is low. It is included for completeness.</t>
  </si>
  <si>
    <t xml:space="preserve">https://jobs.wichita.edu/</t>
  </si>
  <si>
    <t xml:space="preserve">Assistant Professor of Management (two tenure-track positions)</t>
  </si>
  <si>
    <t xml:space="preserve">2026-09-14 (application due date per HigherEdJobs; already passed)</t>
  </si>
  <si>
    <t xml:space="preserve">https://www.higheredjobs.com/faculty/details.cfm?JobCode=179458351</t>
  </si>
  <si>
    <t xml:space="preserve">HigherEdJobs lists an application due date of 09/14/2026, which is before today. The results do not say whether this is a hard deadline or a review-start date, and the listing still appears on HigherEdJobs. The posting may be closed; check it directly.</t>
  </si>
  <si>
    <t xml:space="preserve">The results do not show the sub-area. A general management, OB or strategy line is outside the candidate's IS field. The fit would rise only if one of the two lines targets technology, digital platforms or innovation management, where the candidate's research on platform governance, influencer dynamics and creator monetization would apply. The deadline has also likely passed.</t>
  </si>
  <si>
    <t xml:space="preserve">Assistant Professor of Management (Position 129750, Req 496615)</t>
  </si>
  <si>
    <t xml:space="preserve">2026-09-25</t>
  </si>
  <si>
    <t xml:space="preserve">The official UWF listing shows a closing date of Sep 25 2026, which is before today (2026-10-15). Round 1 had seen an aggregator date of Nov 14, 2026 that conflicts with this. Treat the line as probably closed unless the portal still accepts applications.</t>
  </si>
  <si>
    <t xml:space="preserve">not shown (likely AY 2027-28; not confirmed)</t>
  </si>
  <si>
    <t xml:space="preserve">This is a general management line, and the results did not show any focus on technology, IS or analytics. It is outside the candidate's field. The candidate's MIS training (creator economy, platform governance, IS economics, econometrics and ML) and the record in ISR, MISQ and ICIS do not line up with a management/OB/strategy search. The listing's official closing date has also passed.</t>
  </si>
  <si>
    <t xml:space="preserve">https://jobs.chronicle.com/employer/1786afb1-7886-4b55-967c-abda0443695b/university-of-west-florida; https://www.indeed.com/jobs?q=Company%3A%22university+of+West+Florida%22</t>
  </si>
  <si>
    <t xml:space="preserve">Open Rank Tenure Track Faculty Position (Accounting)</t>
  </si>
  <si>
    <t xml:space="preserve">2026-10-14</t>
  </si>
  <si>
    <t xml:space="preserve">https://careercenter.aaahq.org/job/269287/open-rank-tenure-track-faculty-position/?TrackID=9</t>
  </si>
  <si>
    <t xml:space="preserve">Accounting (Department of Accounting and Finance)</t>
  </si>
  <si>
    <t xml:space="preserve">Open rank (tenure-track)</t>
  </si>
  <si>
    <t xml:space="preserve">The re-posted AAA listing 269287 shows a closing date of Oct 14, 2026, which is today. The original listing 246850 (ref JR100807, posted Jun 16, 2026) closed Aug 15, 2026. The job therefore closes today unless ACU extends it again.</t>
  </si>
  <si>
    <t xml:space="preserve">Fit 0 under the learned rubric (field outside IS / analytics / OM): Not a match. This is an accounting line (auditing, cost and general accounting). It lists data analytics and financial systems but has no IS home. The candidate has no accounting PhD or CPA. The deadline is also today (2026-10-14).</t>
  </si>
  <si>
    <t xml:space="preserve">https://careercenter.aaahq.org/job/246850/open-rank-tenure-track-faculty-position/?TrackID=9; https://careercenter.aaahq.org/employer/246849/abilene-christian-university/</t>
  </si>
  <si>
    <t xml:space="preserve">Both searches confirmed the AAA listing 269287 with a closing date of 2026-10-14 (today), posted 2026-08-16, Fall 2027 start. It is a re-post of 246850/JR100807, which closed 2026-08-15; both are merged into this row. It is technically still open under the rule (deadline on or after today) but is effectively closing. The official Workday copy was not seen.</t>
  </si>
  <si>
    <t xml:space="preserve">Idaho State University</t>
  </si>
  <si>
    <t xml:space="preserve">Assistant/Associate Professor of Management, College of Business (3313)</t>
  </si>
  <si>
    <t xml:space="preserve">https://jobs.chronicle.com/job/38049875/assistant-associate-professor-of-management-college-of-business-3313-/</t>
  </si>
  <si>
    <t xml:space="preserve">Department of Marketing and Management</t>
  </si>
  <si>
    <t xml:space="preserve">ID</t>
  </si>
  <si>
    <t xml:space="preserve">Priority consideration for applications received on or before 2026-11-01; position remains open until filled. Application materials: CV, cover letter, three professional references.</t>
  </si>
  <si>
    <t xml:space="preserve">Fit 0 under the learned rubric (field outside IS / analytics / OM): Not a match. A general management line requiring a management PhD, with no IS or technology area stated.</t>
  </si>
  <si>
    <t xml:space="preserve">Re-checked with 1 extended search. The Chronicle aggregator listing is live with an Aug 2027 start and a future priority date (2026-11-01), open until filled, and there is no sign of closure. No official ISU HR URL appeared in the results, so the aggregator URL is kept. The results also showed ISU Finance (3312, out of scope: finance) and a Statistics tenure-track posting (out of scope: not in the business school). No CIS, IS or analytics posting at ISU appeared. Posted date not shown in the results.</t>
  </si>
  <si>
    <t xml:space="preserve">Tenure-Track Faculty, Semiconductor and AI Hardware Cluster Hire (2 positions)</t>
  </si>
  <si>
    <t xml:space="preserve">2026-11-01</t>
  </si>
  <si>
    <t xml:space="preserve">https://jobs.hrc.pdx.edu/postings/50805</t>
  </si>
  <si>
    <t xml:space="preserve">Physics, Chemistry, or Engineering (cluster hire)</t>
  </si>
  <si>
    <t xml:space="preserve">Not stated in results (hosted in physics, chemistry or engineering departments; likely College of Liberal Arts &amp; Sciences and/or Maseeh College of Engineering &amp; Computer Science)</t>
  </si>
  <si>
    <t xml:space="preserve">Tenure-track (rank not explicitly stated in snippet; result surfaced under the PSU 'Assistant Professor' position-type search)</t>
  </si>
  <si>
    <t xml:space="preserve">Applications screening begins 11/01/2026 (the snippet did not give a hard close date)</t>
  </si>
  <si>
    <t xml:space="preserve">This is a non-business physical-science/engineering line in semiconductor and AI hardware. It is not an IS, analytics or data-science unit and not IS-adjacent under the rubric. The candidate's MIS/platform-econometrics profile does not match a hardware or device research line. It is listed only because it is a current-cycle research line at one of the two schools.</t>
  </si>
  <si>
    <t xml:space="preserve">https://jobs.hrc.pdx.edu/postings/search?commit=Search&amp;query_organizational_tier_2_id=any&amp;query_position_type_id=3&amp;sort=1035+asc&amp;utf8=%E2%9C%93; https://jobs.hrc.pdx.edu/postings/search</t>
  </si>
  <si>
    <t xml:space="preserve">CLOSED / filled - skip</t>
  </si>
  <si>
    <t xml:space="preserve">Middle Tennessee State University</t>
  </si>
  <si>
    <t xml:space="preserve">Information Systems and Analytics, Tenure-Track Faculty</t>
  </si>
  <si>
    <t xml:space="preserve">https://careers.mtsu.edu/en-us/job/498022/information-systems-and-analytics-tenuretrack-faculty</t>
  </si>
  <si>
    <t xml:space="preserve">no</t>
  </si>
  <si>
    <t xml:space="preserve">Information Systems and Analytics</t>
  </si>
  <si>
    <t xml:space="preserve">Jennings A. Jones College of Business</t>
  </si>
  <si>
    <t xml:space="preserve">Not shown in results (tenure-track per title)</t>
  </si>
  <si>
    <t xml:space="preserve">No closing date or open-until-filled wording appeared in the results. The search summary said the matching MTSU listing (careers.mtsu.edu job 498022, also on the PageUp mirror) seeks two full-time assistant professors in the Information Systems and Analytics department, with a start date of August 1, 2025. That is a past cycle, not a 2027 start, and the summary said the opening 'appears to be past.'</t>
  </si>
  <si>
    <t xml:space="preserve">Search summary: 'No result mentions visa or sponsorship policy for these MTSU faculty roles.'</t>
  </si>
  <si>
    <t xml:space="preserve">The results showed no industry-experience requirement for the tenure-track ISA listing. The separate ISA Professor of Practice (cybersecurity) listing, job 498029, is different: it requires 'five (5) years of professional experience in cybersecurity.' The candidate does not have that experience, and that role is not tenure-track.</t>
  </si>
  <si>
    <t xml:space="preserve">The listing is for two full-time assistant professors, with teaching in cybersecurity and related areas. The results did not show the degree requirements or the full qualifications. MTSU policy 202 says tenure-track appointments 'shall not include any right to permanent or continuous employment' and are subject to annual renewal.</t>
  </si>
  <si>
    <t xml:space="preserve">This is a tenure-track line in an IS and Analytics department inside a business college, which is the candidate's core MIS field (rubric score 5). The candidate's IS research on platforms and misinformation, plus teaching in cloud, Python and ML for business, match an ISA department well. Fit is high, but whether the posting is current and open is unconfirmed.</t>
  </si>
  <si>
    <t xml:space="preserve">https://isa.mtsu.edu/faculty/</t>
  </si>
  <si>
    <t xml:space="preserve">The posting exists on MTSU's official careers site (https://careers.mtsu.edu/en-us/job/498022/information-systems-and-analytics-tenuretrack-faculty), but the result ties it to an August 1, 2025 start. It looks like an expired 2024-25 posting, not a current opening for a 2027 start. A sister listing (job 498029, Professor of Practice) also had an August 1, 2025 start. The results showed no newer ISA tenure-track posting. The candidate should check careers.mtsu.edu for a new ISA posting for the 2027 cycle and confirm H-1B sponsorship with the department or MTSU HR. This was a single search, so the closed status is inferred from the start date and was not confirmed on the posting page.</t>
  </si>
  <si>
    <t xml:space="preserve">Assistant Professor of Business Analytics and Strategy</t>
  </si>
  <si>
    <t xml:space="preserve">https://jobs.chronicle.com/jobs/illinois/tenured-tenured-track/full-time/</t>
  </si>
  <si>
    <t xml:space="preserve">Stuart School of Business (department not shown)</t>
  </si>
  <si>
    <t xml:space="preserve">Stuart School of Business</t>
  </si>
  <si>
    <t xml:space="preserve">No current-cycle (2027 start) posting was found. The search shows that a tenure-track Assistant Professor of Business Analytics and Strategy role at Stuart was advertised for a Fall 2024 start, so it is likely closed. A separate Stuart business analytics tenure-track posting required a PhD by August 2026, and its application window closed on September 15, 2025. No 2026-27 deadline or review date appeared.</t>
  </si>
  <si>
    <t xml:space="preserve">None of the results say whether Stuart sponsors visas for faculty. The only visa wording found is on Stuart program pages, which say some degrees meet 'F-1 Visa Requirements'. That concerns students, not employment.</t>
  </si>
  <si>
    <t xml:space="preserve">No industry-experience requirement appeared for this tenure-track line. (A separate teaching role at the Illinois Tech Mumbai campus gives preference to candidates with higher-education experience in the USA, but that is a different job in India.)</t>
  </si>
  <si>
    <t xml:space="preserve">Doctorate required. The most recent related Stuart business analytics tenure-track posting required a PhD by August 2026. The candidate's expected June 2027 PhD would not meet that prior-cycle requirement. No current-cycle requirements were found.</t>
  </si>
  <si>
    <t xml:space="preserve">A business analytics line in a business school is a strong fit for the candidate's econometrics, ML/LLM and platform-analytics research and for the ML-for-business teaching (rubric 4). The 'strategy' half could suit the platform and creator-economy work. However, this may be the same closed 2025-cycle Stuart analytics search re-listed on the Chronicle, so the current cycle must be verified first.</t>
  </si>
  <si>
    <t xml:space="preserve">https://www.iit.edu/stuart/about/open-faculty-positions-stuart</t>
  </si>
  <si>
    <t xml:space="preserve">The listing could not be confirmed as a current-cycle (2027 start) opening. The only matching title found was the Fall 2024-start advertisement (Stuart LinkedIn post: https://www.linkedin.com/posts/iitstuart_open-positions-at-stuart-activity-7127374816147374080-nxv9). The Chronicle Illinois list page probably shows a stale entry. Stuart's official open-positions page appeared at https://www.iit.edu/stuart/about/open-positions-stuart, which is a different URL from the one in the file. The candidate could check that page or contact Illinois Tech HR or the provost's office for any 2027 reposting and the sponsorship policy. Separately, a teaching faculty role at the Illinois Tech Mumbai campus (closing 28 Nov 2026) is in India and is not a US H-1B path.</t>
  </si>
  <si>
    <t xml:space="preserve">Assistant or Associate Professor - Information Technology (tenure track, open rank)</t>
  </si>
  <si>
    <t xml:space="preserve">https://www.indeed.com/m/jobs?q=Information+Technology&amp;l=Georgia+Southern,+GA</t>
  </si>
  <si>
    <t xml:space="preserve">Information Technology (as described in result; unconfirmed)</t>
  </si>
  <si>
    <t xml:space="preserve">Not stated in result (likely Allen E. Paulson College of Engineering and Computing)</t>
  </si>
  <si>
    <t xml:space="preserve">No application deadline appeared in the search results. The only matching posting is from the prior hiring cycle. It required the degree to be done by August 1, 2025, and HigherEdJobs shows the listing was deleted on 4/29/2025. No 2026-27 posting for a 2027 start turned up.</t>
  </si>
  <si>
    <t xml:space="preserve">No visa sponsorship wording turned up. The search summary says: 'None of the results mention whether Georgia Southern sponsors visas for faculty.'</t>
  </si>
  <si>
    <t xml:space="preserve">The posting text in the results (TealHQ summary) asks for no industry experience. Its requirements are about teaching and research only.</t>
  </si>
  <si>
    <t xml:space="preserve">From the prior-cycle TealHQ listing: an earned terminal degree in Computer Science, Information Technology, Information Systems, or a closely related field, with at least 18 graduate semester hours in relevant areas, completed by August 1, 2025. Evidence of quality teaching and research. Preferred: research and teaching experience in Cybersecurity, Data Science, Computer Networks, or a closely related field. The role is described as tenure-track, open rank (Assistant or Associate), covering teaching, research and service. Location given as Statesboro in earlier evidence.</t>
  </si>
  <si>
    <t xml:space="preserve">An IT department in a computing college would be an IS-adjacent non-business unit (computing and informatics), which scores 3. The candidate teaches connected systems, cloud and Python, which fits IT-department teaching. If the line turns out to be in Parker College of Business, the score would rise to 5.</t>
  </si>
  <si>
    <t xml:space="preserve">https://www.indeed.com/q-professor-it-l-georgia-jobs.html</t>
  </si>
  <si>
    <t xml:space="preserve">This is a prior-cycle posting and is closed. Its degree deadline was August 1, 2025, and HigherEdJobs deleted the listing on 4/29/2025. Most direct posting URLs found: https://www.higheredjobs.com/details.cfm?JobCode=178920446 (removed) and https://www.tealhq.com/job/assistant-or-associate-professor-information-technology_20f1a994-02f6-4173-8727-b91b0064099d. The results did not confirm the department or college, but Georgia Southern's IT department sits in the Allen E. Paulson College of Engineering and Computing. No current posting for a 2027 start was found. If the department posts again with a similar degree-by-August date, the candidate's MIS PhD (expected June 2027) could fit the 'Information Systems or closely related' degree field, and the candidate would need H-1B sponsorship after OPT. The candidate should watch Georgia Southern's official careers portal and ask the department directly about sponsorship.</t>
  </si>
  <si>
    <t xml:space="preserve">University of North Carolina Wilmington</t>
  </si>
  <si>
    <t xml:space="preserve">Assistant Professor of Marketing (two tenure-track positions)</t>
  </si>
  <si>
    <t xml:space="preserve">2026-09-14</t>
  </si>
  <si>
    <t xml:space="preserve">https://jobs.uncw.edu/postings/40434</t>
  </si>
  <si>
    <t xml:space="preserve">Cameron School of Business</t>
  </si>
  <si>
    <t xml:space="preserve">The search summary of the official posting (jobs.uncw.edu/postings/40434) gives a job posting date of 08/11/2026 and a job close date of 09/14/2026, which agrees with the earlier Indeed note. That date has passed as of 2026-10-15, so the posting is closed. The posting's 'External Link' field points to posting 40032 under the same vacancy number (16F-786). That may be a linked or updated posting, but nothing in the results shows it is open. The results also mention a separate Chronicle listing for an 'Assistant or Associate Professor of Marketing' in the same department, which may be a separate or updated posting. Its status is unverified.</t>
  </si>
  <si>
    <t xml:space="preserve">The search results do not mention visa sponsorship or H-1B. The summary explicitly says: 'Not found: visa sponsorship policy.'</t>
  </si>
  <si>
    <t xml:space="preserve">No industry work requirement appears in the results. The preferred qualifications are teaching-related: 'Candidates with experience teaching marketing research, marketing analytics, digital marketing analytics, consumer behavior, or sales are encouraged to apply.'</t>
  </si>
  <si>
    <t xml:space="preserve">From the earlier file evidence: a Ph.D. in Marketing or a related field from an AACSB-accredited school. ABD candidates are welcome, and a degree conferred by August 1, 2027 leads to an Assistant Professor appointment. The application needs a cover letter to Dr. Mark Pelletier (search committee chair) that addresses the minimum and preferred qualifications, a CV listing courses taught and evaluations, and at least three professional references. The research-active teaching load is 3/2. The start date is Fall 2027. There are two positions, Vacancy 16F-786, on the main campus.</t>
  </si>
  <si>
    <t xml:space="preserve">A marketing line that encourages marketing analytics and digital marketing analytics = 2. The influencer and creator-economy research and social-media analytics teaching interest overlap. Risk: a marketing PhD is likely preferred, and the candidate's degree is in MIS.</t>
  </si>
  <si>
    <t xml:space="preserve">https://jobs.chronicle.com/job/38024784/assistant-professor-of-marketing/?TrackID=10; https://www.indeed.com/q-marketing-professor-l-north-carolina-jobs.html</t>
  </si>
  <si>
    <t xml:space="preserve">This is a poor fit even if it were open. It is a Marketing position, and the candidate's PhD is in Management Science (MIS). The marketing analytics and digital analytics teaching areas are the only possible overlap. The official posting showed a close date of 2026-09-14, so the posting is closed and the candidate should drop it unless jobs.uncw.edu shows a reopened or new posting (for example 40032 or the Assistant/Associate Marketing listing on the Chronicle). The candidate's June 2027 degree date fits the August 1, 2027 conferral cutoff. Sources: https://jobs.uncw.edu/postings/40434 ; https://jobs.chronicle.com/job/38024784/assistant-professor-of-marketing/?TrackID=10</t>
  </si>
  <si>
    <t xml:space="preserve">Has business school?</t>
  </si>
  <si>
    <t xml:space="preserve">Research positions (fit 1-5)</t>
  </si>
  <si>
    <t xml:space="preserve">Research positions (fit 0)</t>
  </si>
  <si>
    <t xml:space="preserve">Search status</t>
  </si>
  <si>
    <t xml:space="preserve">Round-3 search note (Oct 15)</t>
  </si>
  <si>
    <t xml:space="preserve">Yes</t>
  </si>
  <si>
    <t xml:space="preserve">Research position(s) found in earlier rounds</t>
  </si>
  <si>
    <t xml:space="preserve">Air Force Institute of Technology</t>
  </si>
  <si>
    <t xml:space="preserve">Round 3 search done (Oct 15)</t>
  </si>
  <si>
    <t xml:space="preserve">Found 0 new research posting(s). 1 search(es). Query (extended mode, one call): "Air Force Institute of Technology" assistant professor OR associate professor faculty position 2026 2027 USAJOBS operational sciences systems engineering management data science. Background: AFIT has no business school. Its management, IS and analytics faculty sit in the Graduate School of Engineering and Management (Department of Systems Engineering &amp; Management; Department of Operational Sciences), and civilian faculty are hired as federal employees through USAJOBS. The results surfaced bayesian.org, ASEE WIED, ASA CareerConnect, INFORMS Career Center, MathJobs, Vaia/USAJOBS mirror, the AFIT HR page, salary.com and AcademyHire. I found no current-cycle research line in scope, meaning a business or management field or an IS-adjacent unit. Excluded: (1) Department of Operational Sciences, Assistant/Associate Professor of Data Science (INFORMS Career Center job 5237, plus a bayesian.org copy). Applications ran 2026-01-13 to 2026-02-13 for an August 2026 start, so this is a prior-cycle posting and closed. Had it been open, it would have scored about 3. (2) Systems Engineering &amp; Management, Assistant/Associate/Full Professor of Acquisition Management, with Model-Based Systems Engineering and acquisition/program management focus (AcademyHire). Valid through 2026-05-28, so closed. (3) A general AFIT HR page "Assistant/Associate/Professor" opening with a close date of 30 Jun 2026, so closed. (4) Engineering Physics Assistant/Associate/Full Professor (ASEE WIED). Deadline 2025-01-19, so stale. (5) One posting may still be open but is out of scope: Department of Mathematics &amp; Statistics (AFIT/EN), tenure-track Assistant/Associate Professor of Statistics (MathJobs job 3741 "AAPOFSTAT"; ASA CareerConnect job 190082; also on USAJOBS). Posted 2026-05-13 and listed until 2026-11-13; start date not seen. This is a statistics line in a math department of an engineering graduate school, not a business unit or an IS-adjacent unit. If the orchestrator wants it anyway, its fit would be 0 to 1 at most: the candidate's econometrics and ML methods overlap a little, but the candidate has no statistics PhD. URLs: https://www.mathjobs.org/jobs/3741/AAPOFSTAT and https://careerconnect.amstat.org/job/190082/assistant-associate-professor-of-statistics-tenure-track-/?TrackID=16. I saw no non-research (lecturer/clinical) IS or analytics lines. No sponsorship wording appeared. Note that AFIT civilian faculty positions are federal USAJOBS appointments, which normally require U.S. citizenship, so they are effectively closed to an F-1 or OPT candidate. Recommend watching USAJOBS for a 2027-start re-posting of the Operational Sciences data-science line. | JOB-BOARD SWEEP (shared with paired school): found 0 new. I ran one extended WebSearch. The query was ("Air Force Institute of Technology" OR "Cleveland State University")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hrjobs.csuohio.edu, usajobs.gov and afit.edu. It returned 10 links. N | IS-FOCUSED SWEEP (shared with 3 schools): found 0 new. I ran one extended WebSearch, limited to aisnet.org, higheredjobs.com, chronicle.com, insidehighered.com, academickeys.com, informs.org, linkedin.com and indeed.com. It combined all four schools with IS, MIS, business analytics, data analytics, IT and decision sciences terms plus "assistant professor tenure-track 2027". None of the results showed a current-cycle tenure-track or tenured IS, analytics, OM/SCM or management-science posting at AFIT, Cleveland State (Monte Ahuja College of Business),</t>
  </si>
  <si>
    <t xml:space="preserve">Albert Einstein College of Medicine</t>
  </si>
  <si>
    <t xml:space="preserve">No</t>
  </si>
  <si>
    <t xml:space="preserve">No business school (medical / health / specialty institution) - not searched</t>
  </si>
  <si>
    <t xml:space="preserve">Found 1 new research posting(s). 1 search(es). I ran one extended WebSearch: "Azusa Pacific University" School of Business and Management faculty position assistant professor 2027 business analytics information systems. Results included the APU business faculty, MBA, school and Business Analytics major pages, Indeed aggregator pages, one APU SilkRoad faculty posting (jobs.silkroad.com/APU/FacultyJobs/jobs/4609), two HigherEdJobs assistant professor listings in Business Analytics/MIS (JobCodes 179016827 and 179171944), and a HigherEdJobs Dean posting (179327116).
I found no APU posting in Information Systems, business analytics or IS-adjacent fields for the current cycle. According to the search summary, the faculty page lists no faculty in information systems.
INCLUDED, with low confidence: one SilkRoad faculty posting in the Department of Business and Entrepreneurship (Strategic Management/Strategic Foresight Specialization), at Assistant or Associate Professor. The results showed no posted date, deadline or start term, so I could not confirm it is a 2026-27 cycle posting. It is listed so the sheet is complete. Its fit is 0 because it is outside the candidate's field.
EXCLUDED:
(a) HigherEdJobs 179016827, "Assistant Professor of Business Analytics/Management Information Systems", and 179171944, "Assistant Professor (Bus. Analytics &amp; Information Systems)". The search summary says both are marked deleted, which means closed. The snippets also do not clearly name APU as the employer, and neither shows a 2027 date.
(b) HigherEdJobs 179327116, "Dean - School of Business and Management". This is an administrative role, not a research line.
(c) Indeed aggregator pages. They showed no specific research line.
As found in round 1, the APU provost employment page only invites general applications. APU is faith-based and its faculty postings typically require a statement of Christian faith, but I did not see that wording in this search. I saw no non-research IS or analytics line (lecturer, clinical or adjunct). I saw no wording on visa sponsorship or industry experience. | JOB-BOARD SWEEP (shared with paired school): found 0 new. I read both item files first. Neither lists any known postings, and round 1 found no current-cycle business faculty line at either school. I then ran one WebSearch in extended mode with this query: ("University of Alaska Fairbanks" OR "Azusa Pacific University") assistant professor tenure-track ("information systems" OR analytics OR "data science" OR "supply chain" OR operations OR "management science" OR "business analytics") 2027. The search was limited to higheredjobs.com, chronicle.com, insi | IS-FOCUSED SWEEP (shared with 3 schools): found 0 new. I ran one extended WebSearch on Oct 15, 2026, limited to aisnet.org, higheredjobs.com, chronicle.com, insidehighered.com, academickeys.com, informs.org, linkedin.com and indeed.com. The query covered all 4 schools, combined with IS, MIS, business analytics, data analytics, IT and decision-sciences terms plus "assistant professor tenure-track 2027". It found no confirmable current-cycle tenure-track or tenured IS, analytics, OM/SCM or decision-sciences line at any of the 4 schools, so postings is</t>
  </si>
  <si>
    <t xml:space="preserve">Boise State University</t>
  </si>
  <si>
    <t xml:space="preserve">Found 0 new research posting(s). 1 search(es). This round ran one extended WebSearch. Query: "Boise State University" tenure-track assistant professor faculty position 2027 business OR "information technology management" OR analytics OR computing. Allowed domains: higheredjobs.com, chronicle.com, insidehighered.com, academickeys.com, indeed.com, linkedin.com, boisestate.edu, apply.interfolio.com and boisestate.wd1.myworkdayjobs.com. Round 1 had searched only the Boise State domains, so this round added the job boards.
No current-cycle research line in IS, analytics or any other business field was confirmed as open. The candidate's IS-adjacent areas turned up nothing either.
What came back:
(1) COBE Department of Management, tenure-track Human Resource Management, Assistant or Associate rank, start Spring/Fall 2027. It closed Aug 31, 2026, and HR is outside the candidate's field. It was already noted in round 1, so it is not reported again.
(2) Two HigherEdJobs listings, "Assistant Professor, Business Analytics (Tenure-Track)" (JobCode=179413902) and "Assistant Professor of Business Analytics (Tenure Track)" (JobCode=179010269). The search summary says both are marked deleted, one on 8/04/2026 and one on 8/13/2025. The results do not clearly say these are Boise State postings. Even if they are, deleted listings are treated as closed, so they are excluded. The later-removed one (179413902) may be worth checking manually on jobs.boisestate.edu, but nothing shows it is open now.
(3) Electrical and Computer Engineering tenure-track assistant professor page (boisestate.edu/coen-ece/employment/ttap/). Its priority deadline is Jan 3, 2022, so it is from a prior cycle and excluded. It is also engineering, not IS-adjacent.
(4) HigherEdJobs "Tenure-Track Assistant Professor and Associate Professor in Organizational Performance and Workplace Learning" (JobCode=178963221). This is an engineering/workplace-learning unit, not business or IS-adjacent, and no current-cycle dates were shown. Excluded.
(5) LinkedIn "Assistant Professor and Open Rank Professor (Tenure/Tenure-Track) - School of Public and Population Health" (job id 3736294501). Its ID points to an older posting with no 2027 dates, and it is outside the field. Excluded.
Other hits were the School of Computing alumni-career pages, a jobs.boisestate.edu listing page (page 6) with no specific posting text, and policy and compensation pages. None are job postings.
No non-research IS/analytics lines (lecturer, clinical) were seen.
Recommendation: check https://jobs.boisestate.edu/ directly for COBE Information Technology and Supply Chain Management and business analytics postings. Search indexes may lag behind fall-cycle postings. | JOB-BOARD SWEEP (shared with paired school): found 0 new. I ran one extended WebSearch on 2026-10-15. Query: ("Mercer University" OR "Boise State University") assistant professor tenure-track ("information systems" OR analytics OR "data science" OR "supply chain" OR operations OR "management science" OR "business analytics" OR "information technology management") 2027. Allowed domains: higheredjobs.com, chronicle.com, insidehighered.com, academickeys.com, linkedin.com, indeed.com, aisnet.org, informs.org, jobs.boisestate.edu, jobs.mercer.edu, mercer.wd | IS-FOCUSED SWEEP (shared with 3 schools): found 0 new. I ran one extended WebSearch on the 8 job-board domains I was given (aisnet.org, higheredjobs.com, chronicle.com, insidehighered.com, academickeys.com, informs.org, linkedin.com, indeed.com), querying all 4 schools with IS, analytics and decision-sciences terms. Coverage was thin, and the search tool said it simplified the boolean query.
Clark Atlanta University (School of Business): no faculty posting in IS, analytics, OM or supply chain appeared.
Mercer University (Stetson-Hatcher School of </t>
  </si>
  <si>
    <t xml:space="preserve">CUNY City College</t>
  </si>
  <si>
    <t xml:space="preserve">Found 0 new research posting(s). 1 search(es). I ran one extended WebSearch with no domain limit, because round 1 was limited to CUNY domains. The query was: "City College of New York" OR "CCNY" tenure-track assistant professor 2027 economics business OR "data science" OR "information systems" faculty position job. It returned Indeed aggregate pages (tenure-track assistant professor jobs in New York, NY; tenure professor data science jobs), the Chronicle "Faculty Positions jobs in New York" listing page, the cuny.jobs home page, the cuny.jobs CCNY faculty listing (https://cuny.jobs/campus/city-college-of-new-york/job-category/faculty/jobs/), the CCNY 2026-27 tenure/CCE/promotion review schedule (an internal page, not a job), and two cuny.jobs economics postings.
The search found no current-cycle research line at CCNY in business, IS, analytics, OM or economics-in-business. It also found no IS-adjacent HCI, social computing, applied AI or data science line at CCNY.
Exclusions:
(1) The two cuny.jobs economics postings are at other CUNY colleges, not CCNY. The first is "Assistant Professor – Department of Economics", https://cuny.jobs/new-york-ny/assistant-professor-department-of-economics/815A9FD1998A490883C6967F340A793D/job/. The results describe it as John Jay's tenure-track opening in any field, assistant level, starting Fall 2027 and closing November 1, 2026. The second is "Assistant or Associate Professor – Economics", https://cuny.jobs/new-york-ny/assistant-or-associate-professor-economics/28A807C59C8143BC87BFB6EB1704F735/job/. The results describe it as Baruch's tenure-track associate/assistant opening, starting Fall 2027 subject to budget approval, with a December 2, 2026 full-consideration deadline. Both belong to the John Jay and Baruch items, and both would score 0 for the candidate in any case (economics, outside the candidate's IS field).
(2) The CUNY job board lists a CCNY "Assistant Professor (Tenure track) – Computer Science" opening (Grove School of Engineering). The results give no specialization, start date, deadline or direct URL, so it is not shown to be an HCI, social computing, applied AI or data science line. Its cycle could not be confirmed either. I did not report it. It is worth a manual check on the CCNY faculty listing page above, in case its area turns out to be AI or data science (that would be at best a fit of 3).
(3) Other CCNY tenure-track listings in the results are outside the candidate's field and were excluded: Civil Engineering and Psychology.
No IS or analytics non-research line (lecturer, clinical, adjunct) at CCNY showed up. Round 1 had already found only the Economics and Business adjunct-faculty page.
Conclusion after two rounds: CCNY has no current research tenure-track posting in business or IS-adjacent fields. Business at CCNY is a small economics-and-business department with no separate business school. | JOB-BOARD SWEEP (shared with paired school): found 0 new. I read both item files first. Neither had any known postings. CCNY's business unit is the Department of Economics and Business in the Colin Powell School. Hunter has no business school; accounting and economics sit in its Department of Economics. Round 1 found Hunter Economics/Accounting Assistant Professor Job IDs 29232/29233 marked 'Open until filled', but they look like a prior cycle. I made ONE extended WebSearch, limited to higheredjobs.com, chronicle.com, insidehighered.com, academickeys.c | IS-FOCUSED SWEEP (shared with 3 schools): found 0 new. I ran one extended WebSearch limited to aisnet.org, higheredjobs.com, chronicle.com, insidehighered.com, academickeys.com, informs.org, linkedin.com and indeed.com. The query combined all 4 schools with IS, MIS, analytics and decision-sciences terms plus 'assistant professor tenure-track 2027'. The search found no business-school IS, MIS, business analytics or decision-sciences posting for the current cycle at any of the 4 schools. The only current-cycle line I could tie to one of these schools </t>
  </si>
  <si>
    <t xml:space="preserve">CUNY Hunter College</t>
  </si>
  <si>
    <t xml:space="preserve">Found 0 new research posting(s). 1 search(es). I ran one extended WebSearch: "Hunter College" assistant professor tenure-track Fall 2027 economics accounting computer science data science. I limited it to cuny.jobs, hunter.cuny.edu, cuny.edu, higheredjobs.com, chronicle.com, insidehighered.com, academickeys.com, indeed.com, linkedin.com, aeaweb.org, mathjobs.org and cra.org, so it reached the outside job boards that round 1, which searched only CUNY domains, did not. Hunter still has no business school. Accounting and economics both sit in the Department of Economics in Arts &amp; Sciences, and the only IS-adjacent unit is the Department of Computer Science.
The search returned these pages: the Economics department home and news pages, the Economics and Accounting faculty list, the Hunter HR "Faculty Jobs" vacancy page, the cuny.jobs list for "Assistant Professor Economics" at Hunter, an inactive AEA JOE listing, the Computer Science department home and faculty pages, the Math &amp; Statistics part-time faculty page, and the cuny.jobs home page. None of them mentions a Fall 2027 or 2027–28 hire.
Excluded:
(1) Hunter HR "Faculty Jobs" page: an open Assistant Professor job in the Department of Economics marked "Closing: Open until filled", and a separate "Department of Economics (Accounting)" job. These are the same two postings round 1 found (Job IDs 29232/29233). The search also returned an AEA JOE listing in the archive window "August 1, 2024 - January 31, 2025": a Hunter tenure-track Assistant Professor for any field, salary $120,000–$140,000, now inactive. The Job ID range and that matching JOE ad point to the 2024–25 cycle, and neither job shows a 2027 start or a posting date from June 2026 or later. I therefore treat both as prior-cycle and stale. Their fit would be 0 anyway: economics and accounting without IS are outside the candidate's field, although the faculty page lists some accounting faculty interests in "Big Data, Data Analytics".
(2) Computer Science: the results show only that the department added an assistant professor for Fall 2025 (a prior cycle). They show no open 2027 tenure-track CS, data-science or HCI posting.
(3) No data-science or information-science tenure-track posting at Hunter appeared.
I saw no notable non-research IS or analytics job (lecturer, clinical or adjunct) other than the Math &amp; Statistics part-time faculty page, which is a general adjunct page. I found no current research lines at Hunter. A manual check of cuny.jobs (Hunter College campus filter) and AEA JOE later in the fall would catch a late Economics or Accounting posting for 2027. | JOB-BOARD SWEEP (shared with paired school): found 0 new. I read both item files first. Neither had any known postings. CCNY's business unit is the Department of Economics and Business in the Colin Powell School. Hunter has no business school; accounting and economics sit in its Department of Economics. Round 1 found Hunter Economics/Accounting Assistant Professor Job IDs 29232/29233 marked 'Open until filled', but they look like a prior cycle. I made ONE extended WebSearch, limited to higheredjobs.com, chronicle.com, insidehighered.com, academickeys.c | IS-FOCUSED SWEEP (shared with 3 schools): found 0 new. I ran one extended WebSearch limited to aisnet.org, higheredjobs.com, chronicle.com, insidehighered.com, academickeys.com, informs.org, linkedin.com and indeed.com. The query combined all 4 schools with IS, MIS, analytics and decision-sciences terms plus 'assistant professor tenure-track 2027'. The search found no business-school IS, MIS, business analytics or decision-sciences posting for the current cycle at any of the 4 schools. The only current-cycle line I could tie to one of these schools </t>
  </si>
  <si>
    <t xml:space="preserve">California State University, Los Angeles</t>
  </si>
  <si>
    <t xml:space="preserve">Found 0 new research posting(s). 1 search(es). I ran one extended WebSearch: "Cal State LA" OR "California State University, Los Angeles" College of Business and Economics tenure-track assistant professor Fall 2027. It found no current-cycle (2027 start) research or tenure-track line in Cal State LA's College of Business and Economics, in any field, and no IS-adjacent tenure-track line in another unit.
What came back:
(1) calstatela.edu/business/open-positions. The only business posting the search summary showed there is a Marketing Assistant Professor role with an application deadline of September 8, 2023. That is a prior cycle and closed, so I excluded it. It matches the round-1 note that the page shows only a 2023 marketing posting.
(2) Cal State LA Fall 2027 tenure-track lines outside business: Social Work (Rongxiang Xu College of Health and Human Services), three assistant professor tenure-track positions starting Spring, Summer or Fall 2027; and Special Education &amp; Counseling (College of Education), two tenure-track roles for 2026-27. Both are outside the candidate's field and are not IS-adjacent, so I excluded them. The Special Education lines are also prior or current AY, not 2027.
(3) Generic portal and policy pages: the careers.calstatela.edu PageUp tenure-track filter, the CSU Careers faculty category, the HigherEdJobs Cal State LA institution page, the tenure-track salary-range page, the Academic Senate handbook ch6a and the tenure-track evaluation page. The search results showed no business or IS posting in any of them.
(4) Postings from other CSU campuses, which are different institutions and not reported here: Cal State Fullerton College of Business and Economics, Assistant Professor of Economics (two tenure-track positions for Fall 2027, materials due Nov 15, 2026; jobs.chronicle.com/job/38039753) and a School of Accountancy Assistant Professor (HigherEdJobs JobCode 179434448, start Jan 19 or Aug 16, 2027); and a Cal Poly San Luis Obispo Orfalea accounting tenure-track position for Fall 2027. All would score 0 (economics or accounting with no IS). They belong to those universities' own items if not already captured.
Non-research IS line: the 2026-27 AY Lecturer Pool in Information Systems (csucareers.calstate.edu/en-us/job/555366) is already known from round 1 and is a non-research lecturer pool, so I did not report it again. No new IS or analytics lecturer or clinical line appeared.
Conclusion: across both rounds, Cal State LA CBE has no open tenure-track research posting as of 2026-10-15. Recommend checking careers.calstatela.edu directly (filter: Instructional Faculty - Tenured/Tenure-Track), since CSU campuses often post Fall 2027 lines in October and November. | JOB-BOARD SWEEP (shared with paired school): found 0 new. I ran one WebSearch in extended mode. Query: ("California State University, Los Angeles" OR "Cal State LA" OR "California State University, Sacramento" OR "Sacramento State") assistant professor tenure-track ("information systems" OR analytics OR "data science" OR "supply chain" OR operations OR "management science" OR "business analytics") 2027.
It was restricted to these domains: higheredjobs.com, chronicle.com, insidehighered.com, academickeys.com, linkedin.com, indeed.com, aisnet.org, infor | IS-FOCUSED SWEEP (shared with 3 schools): found 0 new. I ran one extended WebSearch limited to aisnet.org, higheredjobs.com, chronicle.com, insidehighered.com, academickeys.com, informs.org, linkedin.com and indeed.com. The query named all four schools together with IS, MIS, business analytics, data analytics, IT and decision-sciences terms, plus "assistant professor tenure-track 2027". It turned up no new current-cycle tenure-track or tenured research posting in IS, analytics, decision sciences, OM/SCM or management science at any of the four schoo</t>
  </si>
  <si>
    <t xml:space="preserve">California State University, Sacramento</t>
  </si>
  <si>
    <t xml:space="preserve">Found 0 new research posting(s). 1 search(es). I ran one extended WebSearch: "Sacramento State College of Business tenure-track Assistant Professor Fall 2027 (information systems OR analytics OR accounting OR finance OR marketing OR management OR supply chain)". I limited it to careers.csus.edu, careers.pageuppeople.com, csus.edu, csucareers.calstate.edu, higheredjobs.com, chronicle.com, insidehighered.com, academickeys.com, linkedin.com and indeed.com.
No current-cycle (Fall 2027) research or tenure-track posting at the Sac State College of Business showed up, in any field.
What the search returned:
- The careers.csus.edu landing page ("Recent Jobs"), with no business TT posting visible in the results. The summary says the board showed only three tenure-track instructional openings when it was indexed. Round 1 found these were non-business (Latin American Music, Cinema Studies).
- csucareers.calstate.edu.
- Faculty-affairs pages on temporary/lecturer hiring and CBA 12.22.c tenure-track appointment guidelines. These are not postings.
- An Arts &amp; Letters "Tenure-Track Cluster Hiring" page. This is a non-business unit, not IS-adjacent.
- The catalog faculty directory.
- An Indeed aggregate page for "tenure professor" jobs in Sacramento.
- A LinkedIn profile of a faculty member.
- A HigherEdJobs "Assistant Professor, School of Accountancy" link (JobCode 179434448). The summary ties this to Cal State Fullerton (Fall 2027, two TT Assistant Professor lines), not Sac State.
The summary also mentions an older Sac State College of Business Entrepreneurship TT posting. It had a Fall 2025 start and a $110,000–$125,000 salary, and was about 666 days old. It is from a prior cycle, so I treated it as closed and excluded it.
Excluded for belonging to other universities: a Cal Poly SLO Orfalea Accounting &amp; Law TT posting for Fall 2027.
I found no IS-adjacent non-business TT line (computer science / data science / information) at Sac State in these results.
Non-research IS/analytics line: the already-known 2026-27 AY Lecturer Pool in Management, Information Systems &amp; Business Analytics (careers.pageuppeople.com/873, job 553828). It remains the only Sac State IS-related posting seen, and it is not reported again.
Caveat: Sac State posts on PageUp (careers.csus.edu / careers.pageuppeople.com/873), and the search index may lag. A Fall 2027 College of Business TT posting (CSU campuses often post in Sept–Nov) could exist without being indexed. The candidate should check careers.csus.edu filtered to "Instructional Faculty – Tenured/Tenure-Track" directly. | JOB-BOARD SWEEP (shared with paired school): found 0 new. I ran one WebSearch in extended mode. Query: ("California State University, Los Angeles" OR "Cal State LA" OR "California State University, Sacramento" OR "Sacramento State") assistant professor tenure-track ("information systems" OR analytics OR "data science" OR "supply chain" OR operations OR "management science" OR "business analytics") 2027.
It was restricted to these domains: higheredjobs.com, chronicle.com, insidehighered.com, academickeys.com, linkedin.com, indeed.com, aisnet.org, infor | IS-FOCUSED SWEEP (shared with 3 schools): found 0 new. I ran one extended WebSearch limited to aisnet.org, higheredjobs.com, chronicle.com, insidehighered.com, academickeys.com, informs.org, linkedin.com and indeed.com. The query named all four schools together with IS, MIS, business analytics, data analytics, IT and decision-sciences terms, plus "assistant professor tenure-track 2027". It turned up no new current-cycle tenure-track or tenured research posting in IS, analytics, decision sciences, OM/SCM or management science at any of the four schoo</t>
  </si>
  <si>
    <t xml:space="preserve">Central Michigan University</t>
  </si>
  <si>
    <t xml:space="preserve">Found 0 new research posting(s). 1 search(es). Query (one extended WebSearch, no domain restriction): "Central Michigan University" College of Business Administration tenure-track assistant professor 2027 (information systems OR analytics OR marketing OR accounting OR finance OR management).
Results returned: CMU Applicant Portal pages on jobs.cmich.edu (postings/42120, postings/45458, a sorted search page, and a search filtered to faculty position type); an academiccareers.com company page for CMU and its Commercial Music tenure-track listing; two AISWorld list posts from February 2022 for a CMU tenure-track open-rank IS position; a CMU news item about open forums for CBA associate dean finalists; and an unrelated Michigan State University posting.
No current-cycle research line in the College of Business Administration (any business field), and no IS-adjacent research line in a non-business unit, appeared. Why each result was excluded:
(1) Business Information Systems dept., business communication assistant/associate professor (F-0935): August 2025 start with a February 2025 deadline. This is a prior-cycle posting and is closed.
(2) AISWorld posts (2022-02-17 and 2022-02-22) for a CBA IS tenure-track open-rank position: from the 2022 cycle and long closed. They do show that the BIS department has hired IS faculty before.
(3) The 2027-start postings that did appear were all outside business and outside IS: Environmental Engineering (School of Engineering and Technology), Counselor Education (August 2027 start), Speech-Language Pathology (Dow College of Health Professions, August 2027 start) and Commercial Music. They do not qualify.
(4) The CBA associate dean news item is an administrative search, not a faculty line.
This agrees with the round-1 note (Oct 13). The 2027 cycle is active on jobs.cmich.edu in other colleges, but no CBA tenure-track posting is indexed yet. No non-research IS or analytics line (lecturer or clinical) was seen in this search. Suggested follow-up: check the CMU Applicant Portal faculty filter (https://www.jobs.cmich.edu/postings/search?query_position_type_id=2&amp;369=Any&amp;370=Any&amp;371=Any&amp;commit=Search) directly for Business Information Systems or other CBA postings that search engines may not have indexed yet. | JOB-BOARD SWEEP (shared with paired school): found 0 new. I ran one extended WebSearch. Query: ("Central Michigan University" OR "Eastern Michigan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jobs.cmich.edu and careers.emich.edu.
Result: no qualifying current-cycle business- | IS-FOCUSED SWEEP (shared with 3 schools): found 0 new. I ran one extended WebSearch, limited to aisnet.org, higheredjobs.com, chronicle.com, insidehighered.com, academickeys.com, informs.org, linkedin.com and indeed.com. The query covered all 4 schools plus IS/MIS/business analytics/data analytics/IT/decision sciences, with "assistant professor tenure-track 2027". No posting met the inclusion rules (current cycle, research or tenure-track, deadline on or after 2026-10-15 or open until filled). (1) MORGAN STATE: Indeed pages (indeed.com/q-morgan-stat</t>
  </si>
  <si>
    <t xml:space="preserve">Claremont Graduate University</t>
  </si>
  <si>
    <t xml:space="preserve">Found 0 new research posting(s). 1 search(es). I ran one extended WebSearch with no domain filter: "Claremont Graduate University" tenure-track assistant professor faculty position Drucker OR "Information Systems" OR "Center for Information Systems" 2027. Round 1 had been limited to cgu.edu, so this search was broader. It returned no current-cycle (2027-start) tenure-track or tenured research line in the Drucker School of Management or the Center for Information Systems &amp; Technology (CISAT/CIST). The search summary said so directly: "The 2027 start you asked about did not appear in any result."
Results I excluded:
(1) Drucker Institute "Research Assistant Professor (Non-Tenure Track)", Field: Behavioral or Social Sciences, Term: Summer 2026 – Summer 2027, hybrid in Claremont. It is listed on https://www.cgu.edu/employment-opportunities/faculty-jobs/ and copied on hercjobs. I excluded it because it is non-tenure-track, is a 12-month research-only term role (essentially a postdoc), is not in the candidate's IS field, and is prior-cycle: rolling review gave preference to applications by March 20, 2026, which has passed.
(2) Tenure-track Assistant Professor of Industrial and Organizational Psychology in the Division of Behavioral and Organization Sciences (DBOS), posted on the AOM OB listserv around September 2025, commencing July 1, 2026. I excluded it as prior-cycle (2026 start), outside the business school, and outside the candidate's field.
(3) A globalEDGE page about Drucker hiring tenured and tenure-track professors. Its deadline was August 2010, so it is not current.
Unattributed results:
(a) A HigherEdJobs listing titled "Tenure-Track Assistant Professor of Information Systems and Technology" (https://www.higheredjobs.com/faculty/details.cfm?JobCode=179179515).
(b) An INFORMS career-center listing, "Tenure-Track Assistant Professor in Information Systems in Santa Clara, California" (https://careercenter.informs.org/job/tenure-track-assistant-professor-in-information-systems-santa-clara-california-5579).
Neither result named Claremont Graduate University as the employer, and (b) is most likely Santa Clara University. Because I could not attribute them, I did not report either one as a CGU posting. The candidate should open the HigherEdJobs link by hand: its title, "Information Systems and Technology", matches CGU's CISAT unit name, but the employer, dates and deadline were not visible.
Non-research IS/analytics lines: none seen.
The CGU faculty-jobs page (https://www.cgu.edu/employment-opportunities/faculty-jobs/) is still the place to check by hand. That includes the Open Rank tenure-track page noted in round 1, whose field is still unconfirmed. | JOB-BOARD SWEEP (shared with paired school): found 0 new. I ran one extended WebSearch. Query: ("Claremont Graduate University" OR "Loyola Marymount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cgu.edu, lmu.edu, lmu.wd1.myworkdayjobs.com. It returned 10 links. None was a curre | IS-FOCUSED SWEEP (shared with 3 schools): found 0 new. I ran one extended WebSearch limited to aisnet.org, higheredjobs.com, chronicle.com, insidehighered.com, academickeys.com, informs.org, linkedin.com and indeed.com. The query named all four schools together with IS, MIS, business analytics, data analytics, IT and decision-sciences terms, plus "assistant professor tenure-track 2027". It turned up no new current-cycle tenure-track or tenured research posting in IS, analytics, decision sciences, OM/SCM or management science at any of the four schoo</t>
  </si>
  <si>
    <t xml:space="preserve">Clark Atlanta University</t>
  </si>
  <si>
    <t xml:space="preserve">Found 0 new research posting(s). 1 search(es). Round 2 (Oct 15, 2026): ran one extended WebSearch with no domain filter, query: "Clark Atlanta University" School of Business assistant professor faculty position 2026-2027. No current-cycle research faculty posting came back, either at the School of Business (in IS, analytics, OM/SCM, accounting, finance, marketing, management or any other area) or in an IS-adjacent non-business unit. The results were general pages only: the School of Business LinkedIn company page (https://www.linkedin.com/company/cau-sba), Glassdoor salary data (assistant professor pay listed as "$69K - $101K /yr", self-reported), the CAU catalog faculty/administration page (https://catalog.cau.edu/undergraduate/faculty-administration/), the School of Business faculty/staff directory (https://www.cau.edu/academics/schools-departments/school-business/school-business-facultystaff-directory), the School of Business home page (https://www.cau.edu/academics/schools-departments/school-business, which notes AACSB accreditation), an AcademicKeys Who's Who listing for CAU, an ANA marketing conference page, and unrelated results (Clark University in MA, two Wikipedia pages). None of these is a job announcement. Round 1 (Oct 13) searched only cau.edu, cau.peopleadmin.com and apply.interfolio.com and also found nothing beyond the general HR faculty-positions page (apply by each announcement's closing date; send materials to jobs@cau.edu) and an old Counselor Education posting. No prior-cycle, postdoc, lecturer, clinical or other non-research IS/analytics line was seen to exclude or note. No sponsorship or industry-experience wording was seen. Taken together, the two rounds suggest CAU's School of Business has no public research faculty posting for 2027 yet. The candidate could check the CAU HR positions page (https://www.cau.edu/human-resources/positions/index.html) directly, or HBCU-focused and higher-ed job boards, later in the cycle. | JOB-BOARD SWEEP (shared with paired school): found 0 new. I ran one extended WebSearch: ("Clark Atlanta University" OR "Georgia Southern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cau.edu, georgiasouthern.edu and jobs.georgiasouthern.edu.
It returned 10 results. None was a | IS-FOCUSED SWEEP (shared with 3 schools): found 0 new. I ran one extended WebSearch on the 8 job-board domains I was given (aisnet.org, higheredjobs.com, chronicle.com, insidehighered.com, academickeys.com, informs.org, linkedin.com, indeed.com), querying all 4 schools with IS, analytics and decision-sciences terms. Coverage was thin, and the search tool said it simplified the boolean query.
Clark Atlanta University (School of Business): no faculty posting in IS, analytics, OM or supply chain appeared.
Mercer University (Stetson-Hatcher School of </t>
  </si>
  <si>
    <t xml:space="preserve">Clark University</t>
  </si>
  <si>
    <t xml:space="preserve">MA</t>
  </si>
  <si>
    <t xml:space="preserve">Found 0 new research posting(s). 1 search(es). Round 2 (Oct 15, 2026): ran one extended WebSearch with the query "\"Clark University\" School of Business tenure-track assistant professor faculty position 2027". It was limited to job boards and university or application domains: higheredjobs.com, chronicle.com, insidehighered.com, academickeys.com, indeed.com, linkedin.com, apply.interfolio.com, clarku.edu, aisnet.org, aom.org, academicjobsonline.org and ziprecruiter.com. These domains were chosen to add to round 1, which searched only clarku.edu, PeopleAdmin, Workday and Interfolio. No job posting came back for any School of Business faculty line, and no IS-adjacent tenure-track line came back from a non-business unit. Most results were faculty-directory and news pages: the School of Business "Our Faculty" page (https://www.clarku.edu/business/our-faculty/), the general Faculty page, the Provost's "Information for New Tenure-Track Faculty" page, and older new-faculty announcements from 2020, 2023 and 2024. The one item from the current cycle was the Sept 10, 2026 news story "Clark announces new faculty, administrators" (https://www.clarku.edu/news/2026/09/10/clark-announces-new-faculty-administrators/). It describes hires already made for 2026-27, including a Visiting Assistant Professor in the School of Business (international business/marketing). That is a completed hire and a visiting, non-research line, not an opening. No 2027-start tenure-track posting, deadline or application link appeared on any job board. No prior-cycle postings showed up either, so there was nothing to exclude for that reason. No non-research IS/analytics lecturer or clinical line was seen. Round 1 also found no business-school faculty postings, so across both rounds there is no evidence that Clark has an open research line in the candidate's fields this cycle. Clark sometimes posts directly through its HR portal (https://www.clarku.edu/offices/human-resources/job-opportunities/) or through Interfolio, and a posting may appear later in the cycle, so the candidate may want to check those directly. | JOB-BOARD SWEEP (shared with paired school): found 0 new. I ran one extended WebSearch with the query ("Clark University" OR "University of Massachusetts Dartmouth" OR "UMass Dartmouth")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clarku.edu, umassd.edu and careers.umassd.edu. It returne | IS-FOCUSED SWEEP (shared with 3 schools): found 0 new. I read all four known-postings files first. The only known item was the Southern University system's part-time adjunct pool (https://www.sus.edu/news/7270). The other three schools had no known postings. I then ran one extended WebSearch across aisnet.org, higheredjobs.com, chronicle.com, insidehighered.com, academickeys.com, informs.org, linkedin.com and indeed.com. It combined the four school names with IS, MIS, business analytics, data analytics, IT and decision sciences terms, plus "assistan</t>
  </si>
  <si>
    <t xml:space="preserve">Clarkson University</t>
  </si>
  <si>
    <t xml:space="preserve">Found 0 new research posting(s). 1 search(es). I ran one extended open-web search: "Clarkson University" Reh School of Business tenure-track assistant professor faculty position 2027. It returned the INFORMS career center page for Clarkson, the ZipRecruiter and Indeed company pages, the HigherEdJobs institution page, the Reh School faculty-and-staff directory, three AEA JOE listings and two Wikipedia pages. None of these results shows a research (tenure-track or tenured) faculty posting for the 2026-27 cycle with a start in 2027, either in the Reh School or in an IS-adjacent non-business unit. I excluded these items: (1) An AEA JOE listing (aeaweb.org/joe/listing.php?JOE_ID=2025-02_111476910) for a tenure-track economics/environmental economics position in the Reh School, focused on applied econometrics and data analytics. It was posted around November 2025 for an August 2026 start and is now inactive. It belongs to the prior cycle and is in economics, so its fit would be 0. Its wording: "Clarkson University's David D. Reh School of Business invites applications for a tenure-track position in economics/environmental economics" and "standard teaching load for a tenure-track faculty member is 5 courses per year." (2) A second JOE listing (2025-01_111475777) for an open-rank tenure-track or tenured economist with an August 2025 start. It has expired and is from a prior cycle. (3) A 2019-20 JOE listing and a 2021 tenure-track Operations opening, both long closed. (4) Tenure-track openings in Clarkson's engineering departments shown on job boards. These are outside the business school and are not IS-adjacent, so they do not qualify. One non-research IS/analytics line is worth noting: a Reh School Visiting Assistant Professor in Operations &amp; Information Systems (non-tenure-track). Round 1 already found it, and the results again show no deadline or start date. The Reh School adjunct pool for Fall 2026-Summer 2027, which includes Business Analytics, is already in the file and was not reported again. None of the results showed sponsorship or industry-experience wording for a current posting. Result: no qualifying current research postings at Clarkson. The candidate could check the HigherEdJobs institution page and the INFORMS career center page for Clarkson again later in the fall, because an IS/OM tenure-track line could still be posted. | JOB-BOARD SWEEP (shared with paired school): found 0 new. I ran one extended WebSearch: ("Clarkson University" OR "Long Island University") assistant professor tenure-track ("information systems" OR analytics OR "data science" OR "supply chain" OR operations OR "management science" OR "business analytics") 2027. I limited it to higheredjobs.com, chronicle.com, insidehighered.com, academickeys.com, linkedin.com, indeed.com, aisnet.org, informs.org, jobs.liu.edu and clarkson.edu.
No current-cycle tenure-track or tenured research faculty line at either s | IS-FOCUSED SWEEP (shared with 3 schools): found 0 new. I ran one extended WebSearch, limited to aisnet.org, higheredjobs.com, chronicle.com, insidehighered.com, academickeys.com, informs.org, linkedin.com and indeed.com. It combined all 4 school names with IS, MIS, business analytics, data analytics, IT and decision sciences terms, plus "assistant professor tenure-track 2027". None of the results was a current-cycle tenure-track or tenured research faculty line in IS, analytics, decision sciences, OM/SCM or management science at these 4 schools, so </t>
  </si>
  <si>
    <t xml:space="preserve">Cleveland State University</t>
  </si>
  <si>
    <t xml:space="preserve">Found 0 new research posting(s). 1 search(es). I ran one extended WebSearch: "Cleveland State University" Monte Ahuja College of Business tenure-track assistant professor faculty position 2027. It returned the CSU applicant portal listing pages (hrjobs.csuohio.edu/postings/search filtered to position type 2), the single posting https://hrjobs.csuohio.edu/postings/27393, faculty directory pages for the Management, Accounting and Marketing departments, a CSU news item ("CSU is Hiring for Over 40 New Faculty Positions"), LinkedIn and Wikipedia. None of the results was a current-cycle research (tenure-track or tenured) line in the Monte Ahuja College of Business, and none was in an IS-adjacent non-business unit. What I excluded and why: (1) A tenure-track Assistant/Associate Professor in Health Sciences and Human Performance, starting January 2, 2027: it is not a business or IS-adjacent unit, so it is outside the candidate's field and the scope of this search. (2) Part-time single-term instructor applicant pools in Finance &amp; Economics and in Business Student Services (core business courses): these are adjunct/non-research pools. The Information Systems part-time instructor pool (posting 19956) was already known. (3) Tenure-track openings in Marketing and in Operations &amp; Supply Chain Management at Ahuja College, from the "over 40 new faculty" news item (posting 12152): that item is about 6.5 years old, so these are a prior cycle and closed. (4) A full-time multi-rank tenure-track search for the Center for Civics, Culture, and Society, starting August 17, 2026: it is a prior cycle (2026 start) and a non-business unit. I saw no full-time IS or analytics lecturer or clinical posting either. This matches the round-1 finding: no current research line at Ahuja College for 2026-27. Because search results can lag, it may be worth checking https://hrjobs.csuohio.edu/postings/search directly for new Ahuja College postings in the coming weeks. | JOB-BOARD SWEEP (shared with paired school): found 0 new. I ran one extended WebSearch. The query was ("Air Force Institute of Technology" OR "Cleveland State University")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hrjobs.csuohio.edu, usajobs.gov and afit.edu. It returned 10 links. N | IS-FOCUSED SWEEP (shared with 3 schools): found 0 new. I ran one extended WebSearch, limited to aisnet.org, higheredjobs.com, chronicle.com, insidehighered.com, academickeys.com, informs.org, linkedin.com and indeed.com. It combined all four schools with IS, MIS, business analytics, data analytics, IT and decision sciences terms plus "assistant professor tenure-track 2027". None of the results showed a current-cycle tenure-track or tenured IS, analytics, OM/SCM or management-science posting at AFIT, Cleveland State (Monte Ahuja College of Business),</t>
  </si>
  <si>
    <t xml:space="preserve">Found 1 new research posting(s). 1 search(es). I ran one extended, open-web WebSearch (no domain restriction): "Creighton University" Heider College of Business tenure-track assistant professor faculty position Fall 2027. Round 1 had searched only creighton.edu, Workday and Interfolio and found nothing. This time, the results included a CFA Institute job-board profile for Creighton. According to the search summary, it lists a tenure-track "Assistant/Associate/Full Professor of Finance (Open Rank)" at Heider starting Fall 2027. I report that line below. It scores 0 because finance is outside the candidate's field.
The search summary also mentioned a separate "Instructor/Assistant Teaching Professor of Finance" with a Fall 2027 start. That is a non-tenure-track teaching line, so I excluded it.
Two Creighton careers-site (selectminds) postings came back in the Business Intelligence &amp; Analytics area (Heider's Accounting &amp; BIA department):
- "Assistant / Associate Professor of Business Intelligence &amp; Analytics (Tenure Track)": https://creighton.referrals.selectminds.com/jobs/assistant-associate-professor-of-business-intelligence-analytics-tenure-track-3875
- "Assistant Professor of Business Intelligence &amp; Analytics (Tenure Track)": https://creighton.referrals.selectminds.com/jobs/assistant-professor-of-business-intelligence-analytics-tenure-track-4220
Neither result showed a posted date, start year or deadline, and the search summary called the BIA posting "older." I therefore treated both as prior-cycle or unverified and excluded them under the open rule. They would score 4 for this candidate if reopened. The candidate should check careers.creighton.edu and the Workday portal (creighton.wd1.myworkdayjobs.com) directly for a 2027 BIA line, because the search engine does not seem to index Creighton's current portal.
A generic creighton.edu page titled "Assistant or Associate Professor (tenure track)" (https://www.creighton.edu/assistant-or-associate-professor-tenure-track) also appeared. The results showed no department, college, date or start year for it, so I could not tie it to the business school or an IS-adjacent unit, and I excluded it as unverified.
The remaining results were not job postings: an AEA JOE listing from the August 2025–January 2026 cycle (prior cycle, excluded), a PhilJobs Omaha query (philosophy, not relevant), the Heider faculty/staff directory and Accounting &amp; BIA department pages, and "new faculty" news items.
I saw no non-research IS or analytics lines (lecturer or clinical) in this search. | JOB-BOARD SWEEP (shared with paired school): found 0 new. I ran one extended WebSearch on 2026-10-15. Query: ("Creighton University" OR "Kean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creighton.edu, kean.edu, kean.interviewexchange.com and creighton.wd1.myworkdayjobs.com.
 | IS-FOCUSED SWEEP (shared with 3 schools): found 0 new. I ran one extended WebSearch on aisnet.org, higheredjobs.com, chronicle.com, insidehighered.com, academickeys.com, informs.org, linkedin.com and indeed.com. It asked about all 4 schools at once, using IS, MIS, business analytics, data analytics, IT and decision sciences terms with "assistant professor tenure-track 2027". It found no new current-cycle research-track IS or analytics posting at any of the four schools.
(1) Rutgers University-Newark: the only matching tenure-track result was the Rut</t>
  </si>
  <si>
    <t xml:space="preserve">Delaware State University</t>
  </si>
  <si>
    <t xml:space="preserve">DE</t>
  </si>
  <si>
    <t xml:space="preserve">Found 0 new research posting(s). 1 search(es). I ran one extended WebSearch with no domain limit, so it could reach job boards that round 1's domain-restricted search missed. The query was: "Delaware State University" College of Business assistant professor tenure-track faculty position 2026-2027 (information systems OR analytics OR accounting OR finance OR marketing OR management). It found no current-cycle research faculty posting for a 2027 start in the College of Business or in any IS-adjacent unit. What came back:
(1) A 2022 desu.edu HR news item ("University Holds Career Opportunity Day for employees", https://www.desu.edu/news/2022/02/university-holds-career-opportunity-day-employees). It lists an Assistant/Associate Professor (Tenure-Track) MIS/ERP line, the same stale ad round 1 noted. It is about four years old and excluded as a prior cycle.
(2) Delaware State University's company page on Indeed (https://www.indeed.com/cmp/Delaware-State-University). It shows an Assistant Professor (tenure-track) role in Dover, DE. The snippet names no college or discipline and has no date, so it cannot be tied to a business or IS line. It is excluded as unverifiable.
(3) A HigherEdJobs listing, "Assistant Professor in Management (Tenure-track)" (https://www.higheredjobs.com/details.cfm?JobCode=178869416). It is shown as deleted on 5/01/2025, so it belongs to a prior cycle and is closed; the results did not even make clear which institution posted it. A second management listing (JobCode 178933297) was also a removed or older listing that was not clearly from DSU. Both are excluded.
(4) The other results were DSU chemistry or computer-science-theory postings and generic Indeed aggregation pages, none relevant.
The HigherEdJobs institution page for DSU (https://www.higheredjobs.com/institution/search.cfm?University=Delaware+State+University) came up, but the results showed no business faculty openings on it. I saw no non-research IS or analytics lines (lecturer or clinical). Taken with round 1, nothing qualifies right now. The candidate could check DSU's HR job board and the HigherEdJobs DSU page again later in the fall, since some HBCU business schools post late. | JOB-BOARD SWEEP (shared with paired school): found 0 new. I read both item files first. The only known posting was the SCSU School of Business part-time instructor pool (adjunct). Delaware State had no known postings. I ran one extended WebSearch covering both schools with this query: ("Southern Connecticut State University" OR "Delaware State University") assistant professor tenure-track ("information systems" OR analytics OR "data science" OR "supply chain" OR operations OR "management science" OR "business analytics" OR accounting OR management OR m | IS-FOCUSED SWEEP (shared with 3 schools): found 0 new. I read all 4 item files first. Known postings, which were not re-reported: the UCCS Lecturer pool in Quantitative Methods &amp; Business Analytics, and the SCSU School of Business part-time instructor pool. UNC and DSU had none listed. I then ran exactly one extended WebSearch, limited to aisnet.org, higheredjobs.com, chronicle.com, insidehighered.com, academickeys.com, informs.org, linkedin.com and indeed.com. The query covered all 4 schools with IS, MIS, business analytics, data analytics, IT and </t>
  </si>
  <si>
    <t xml:space="preserve">Duquesne University</t>
  </si>
  <si>
    <t xml:space="preserve">Found 0 new research posting(s). 1 search(es). I ran one extended WebSearch: "Duquesne University" Palumbo-Donahue School of Business tenure-track assistant professor faculty position 2027. The results were mostly general pages: the 2026-2027 graduate catalog and older catalogs, the business school home page, the DBL program page, Wikipedia, Princeton Review, an Indeed listing page for Delmont, PA, and an academicjobs.com employer page. They also included Duquesne's Interfolio portal (https://apply.interfolio.com/11181/positions). According to the search summary, that portal lists only adjunct business roles, with 2026 open dates: Adjunct - Accounting, Adjunct - Information Systems and Technology, and Adjunct Instructor - Economics. All are non-research, and the IS&amp;T adjunct was already known from round 1. The only other faculty opening that came up was a non-tenure-track Clinical Assistant Professor in Occupational Therapy. It is outside the business school and IS-adjacent units, and it is not a research line. The results showed no current-cycle (2027-start) tenure-track or tenured posting in the Palumbo-Donahue School in any field: IS, analytics, SCM, accounting, finance, marketing, management or economics. They also showed none in an IS-adjacent non-business unit. Duquesne has no separate iSchool or data-science school, and none appeared in the results. The faculty-directory pages that came up list current assistant professors, not openings. Non-research IS/analytics lines seen: only the already-known Adjunct - Information Systems and Technology posting. Bottom line: no qualifying research postings. Interfolio (apply.interfolio.com/11181) is the place to check if a fall 2026 tenure-track search is posted later. | JOB-BOARD SWEEP (shared with paired school): found 0 new. I ran one WebSearch in extended mode. Query: ("Portland State University" OR "Duquesne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jobs.hrc.pdx.edu and apply.interfolio.com.
Results returned:
- PSU careers pages: the  | IS-FOCUSED SWEEP (shared with 3 schools): found 0 new. I ran one extended WebSearch, limited to aisnet.org, higheredjobs.com, chronicle.com, insidehighered.com, academickeys.com, informs.org, linkedin.com and indeed.com. The query named all four schools together with IS, MIS, business analytics, data analytics, information technology and decision sciences terms, plus "assistant professor tenure-track 2027". It returned no current-cycle tenure-track or tenured research faculty posting at Portland State University (School of Business), Duquesne Univer</t>
  </si>
  <si>
    <t xml:space="preserve">East Tennessee State University</t>
  </si>
  <si>
    <t xml:space="preserve">Found 0 new research posting(s). 1 search(es). One extended WebSearch: "East Tennessee State University assistant professor tenure-track College of Business and Technology faculty position 2027". It was limited to etsu.edu, etsu.wd1.myworkdayjobs.com, higheredjobs.com, chronicle.com, insidehighered.com, academickeys.com, indeed.com and linkedin.com. The results were jobs.etsu.edu/postings/31672, ETSU tenure-and-promotion policy pages and PDFs, the CBAT Computing faculty/staff page, ETSU News items about promotion and tenure and a board meeting, the ETSU HigherEdJobs profile, and two HigherEdJobs engineering postings. None of them is a current-cycle research business or IS line.
Excluded:
(1) https://jobs.etsu.edu/postings/31672 — 9-month tenure-track Assistant Professor of Supply Chain Management, Department of Management and Supply Chain (CBAT). It asks for a PhD or DBA in SCM, Operations Management, Decision Sciences or a closely related field from an AACSB-accredited school. The start date is "Fall 2025, Spring 2026, or Fall 2026", so it belongs to a prior cycle and is treated as closed. It would have scored 2 (OM/SCM). Excluded as prior cycle.
(2) https://www.higheredjobs.com/faculty/details.cfm?JobCode=179514617 — Assistant Professor in Construction Engineering, Tenure Track (1162), Department of Engineering, Engineering Technology and Surveying, starting August 15, 2027, $90,000 salary.
(3) https://www.higheredjobs.com/faculty/details.cfm?JobCode=179514616 — Assistant/Associate Professor in Mechatronics Engineering, Tenure Track (1154), starting August 15, 2027.
Items (2) and (3) are current-cycle tenure-track lines. The search results did not confirm which college they sit in (the department may be housed in CBAT). Either way they are engineering, not a business field, and not IS-adjacent (HCI, social computing, applied AI or data science). They are outside the candidate's field and would score 0, so they are noted here only.
No current-cycle posting was indexed for IS/MIS, analytics, Computing (including any data-science or applied-AI line), Digital Media, accounting, finance, economics, marketing or management. No notable non-research IS or analytics line (lecturer, clinical) showed up either. This matches the round-1 note, which found no indexed current-cycle CBAT faculty posting.
Recommendation: check jobs.etsu.edu directly, filtered to the College of Business and Technology and to postings since June 2026, especially the Department of Computing and the Department of Management and Supply Chain. ETSU's postings site may list ads that search engines have not indexed yet. | JOB-BOARD SWEEP (shared with paired school): found 0 new. I ran one extended WebSearch, limited to these domains: higheredjobs.com, chronicle.com, insidehighered.com, academickeys.com, linkedin.com, indeed.com, aisnet.org, informs.org, careers.mtsu.edu, jobs.etsu.edu and etsu.wd1.myworkdayjobs.com. The query was: ("East Tennessee State University" OR "Middle Tennessee State University") assistant professor tenure-track ("information systems" OR analytics OR "data science" OR "supply chain" OR operations OR "management science" OR "business analytics")  | IS-FOCUSED SWEEP (shared with 3 schools): found 0 new. I read all 4 item files; none lists a known posting. I ran one extended WebSearch, limited to aisnet.org, higheredjobs.com, chronicle.com, insidehighered.com, academickeys.com, informs.org, linkedin.com and indeed.com. The query was a Boolean string naming all 4 schools plus IS/MIS/business analytics/data analytics/IT/decision sciences, assistant professor, tenure-track and 2027. The search engine noted it had to simplify the Boolean string. No new current-cycle research faculty line in IS, anal</t>
  </si>
  <si>
    <t xml:space="preserve">Eastern Michigan University</t>
  </si>
  <si>
    <t xml:space="preserve">Found 0 new research posting(s). 1 search(es). Query (extended, no domain restriction; round 1 had already searched emich.edu and careers.emich.edu): "Eastern Michigan University" College of Business tenure-track assistant professor faculty position Fall 2027. Results included the careers.emich.edu search page, LinkedIn, ZipRecruiter, HigherEdJobs and AcademicCareers institution listings, the CS-PUI job tracker, a regents' committee minutes PDF and a provost search page. None showed a current-cycle (2027-start) research faculty line in the College of Business in any field, including IS, CIS, analytics, accounting, finance, marketing, management and supply chain. None showed one in an IS-adjacent non-business unit either. Excluded: (1) A Fall 2027 tenure-track Assistant Professor in Special Education, College of Education. It is current-cycle but outside business and IS, so it is out of scope. (2) A part-time lecturer in the Department of Accounting, Finance &amp; Information Systems, teaching undergraduate courses in the new Financial Planning and Wealth Management (FPWM) BBA program. It is a non-research teaching line in finance, not IS or analytics. (3) A College of Business graduate assistant role, which is not a faculty line. (4) A Computer Science faculty position starting Fall 2026, found via the CS-PUI tracker. It is prior-cycle and closed, and it is CS rather than an IS/informatics line. (5) An Assistant Professor of Health Administration on LinkedIn, College of Health and Human Services, starting Fall 2024. It is prior-cycle, closed and out of field. Only aggregator/listing pages appeared; no live job board was readable. This is therefore a no-find for two rounds, not proof that nothing is open. The candidate should still check careers.emich.edu and the HigherEdJobs EMU institution page (https://www.higheredjobs.com/institution/search.cfm?University=Eastern+Michigan+University) directly for any late-posted AFIS or CIS tenure-track line. | JOB-BOARD SWEEP (shared with paired school): found 0 new. I ran one extended WebSearch. Query: ("Central Michigan University" OR "Eastern Michigan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jobs.cmich.edu and careers.emich.edu.
Result: no qualifying current-cycle business- | IS-FOCUSED SWEEP (shared with 3 schools): found 0 new. I ran one extended WebSearch, limited to aisnet.org, higheredjobs.com, chronicle.com, insidehighered.com, academickeys.com, informs.org, linkedin.com and indeed.com. The query covered all 4 schools plus IS/MIS/business analytics/data analytics/IT/decision sciences, with "assistant professor tenure-track 2027". No posting met the inclusion rules (current cycle, research or tenure-track, deadline on or after 2026-10-15 or open until filled). (1) MORGAN STATE: Indeed pages (indeed.com/q-morgan-stat</t>
  </si>
  <si>
    <t xml:space="preserve">Eastern Virginia Medical School</t>
  </si>
  <si>
    <t xml:space="preserve">Found 0 new research posting(s). 1 search(es). I ran one extended WebSearch with no domain restriction (round 1 had searched only the erau.edu domains). The query was "Embry-Riddle Aeronautical University Daytona Beach College of Business tenure-track assistant professor faculty position 2026-2027 (information systems OR analytics OR management OR accounting OR finance OR supply chain)". Results came from jobs.chronicle.com, higheredjobs.com, glassdoor, indeed, workopia and erau.edu/faculty. None is a current-cycle (2027 start) research line in the David B. O'Maley College of Business or in an IS-adjacent unit, so postings is empty. Excluded: (1) Tenure-Track Assistant/Associate Professor of Business Law and Insurance, Daytona Beach (https://jobs.chronicle.com/job/37973538/). It was posted April 9, 2026 and requires a J.D., so it is prior cycle (Fall 2026 start) and fit 0 in any case. The summary says O'Maley tenure-track faculty in the Accounting, Economics, Finance and Information Sciences department typically teach a 3-3 load. (2) Assistant Professor of Accounting (NTT), Daytona Beach (https://jobs.chronicle.com/job/37971546/). It was posted April 6, 2026, starts August 2026, requires a CPA, and is non-tenure-track, so it is prior cycle and not a research line. (3) Tenure Track Assistant/Associate Professor, Aviation Commercial Management, Worldwide Campus (https://jobs.chronicle.com/job/37967944/, req R311128). It was posted March 27, 2026 and starts no later than August 2026, so it is prior cycle; it is a remote Worldwide aviation unit, not the business school. (4) Tenure Track Assistant Professor of Aeronautical Science, Daytona Beach (chronicle 37972014; higheredjobs JobCode=179409517) is an aviation field and prior cycle. (5) Tenure Track Assistant/Associate Professor, Graduate Studies, Daytona Beach (workopia.io copy) had no visible date or business/IS field and appears to be the aviation college's graduate studies line, so it is excluded as not business/IS and most likely prior cycle. The search summary says the erau.edu faculty directory lists a Department of Decision Science and Analytics in the college, which would be a 4–5 fit, but no posting for it surfaced. No non-research IS/analytics lecturer or clinical line was seen. Recommendation: check careers.erau.edu/teaching-research (Workday: erau.wd1.myworkdayjobs.com) directly later in the fall, since ERAU business lines seen so far were posted in March–April, which suggests a late posting cycle. | JOB-BOARD SWEEP (shared with paired school): found 1 new. I ran one extended WebSearch: ("Embry-Riddle Aeronautical University" OR "Florida Institute of Technology") assistant professor tenure-track ("information systems" OR analytics OR "data science" OR "supply chain" OR operations OR "management science" OR "business analytics") 2027. It was restricted to higheredjobs.com, chronicle.com, insidehighered.com, academickeys.com, linkedin.com, indeed.com, aisnet.org, informs.org, careers.erau.edu, erau.wd1.myworkdayjobs.com, jobs.fit.edu and fit.edu.
WH | IS-FOCUSED SWEEP (shared with 3 schools): found 1 new. I ran one extended WebSearch, limited to aisnet.org, higheredjobs.com, chronicle.com, insidehighered.com, academickeys.com, informs.org, linkedin.com and indeed.com. The query covered all four schools together with IS, MIS, business analytics, data analytics, IT and decision sciences terms, plus "assistant professor tenure-track 2027". It found no IS, MIS or business analytics tenure-track posting in any of the four business schools: ERAU O'Maley College of Business, Florida Tech Bisk College of</t>
  </si>
  <si>
    <t xml:space="preserve">Florida Institute of Technology</t>
  </si>
  <si>
    <t xml:space="preserve">Found 0 new research posting(s). 1 search(es). This round ran one extended WebSearch with no domain restriction, because round 1 was limited to fit.edu and found nothing. Query: "Florida Institute of Technology" Bisk College of Business assistant professor tenure-track faculty position 2026 OR 2027.
Results: the only Bisk College research line found was "Assistant Professor of Economics (Tenure-Track)" in macroeconomics and monetary economics. It appears on the AEA JOE (aeaweb.org/joe/listing.php?JOE_ID=2026-01_111477323), HigherEdJobs (JobCode=179370261), ZipRecruiter and TealHQ. It was posted March 3, 2026, starts Fall Semester 2026 and has a ZipRecruiter "valid-through" date of May 13, 2026. Required: "Ph.D. in Economics"; 3-3 load; pay $55,600-$84,800. It is EXCLUDED as a prior cycle (2026 start, posted before June 2026, deadline passed). Its fit would also be 0, since economics is outside the candidate's field.
No other Bisk College openings for 2026-27 or 2027 turned up in IS/MIS, business analytics, OM/SCM, accounting, finance, marketing or management. The search summary also said other Florida Tech tenure-track results were in engineering/computing, not business. No specific computing posting for IS, HCI, social computing, applied AI or data science was in the result links, so none is reported. The other results were generic pages: Chronicle Florida faculty listings, the US News Bisk online-program page, the Moez Limayem Wikipedia page and the Bisk "About" page.
No non-research IS/analytics lines (lecturer, instructor or clinical) were seen. Round 1 noted that FIT's HR hiring calendar approves faculty lines by Sept 15 and requisitions by Sept 30. So AY 2027-28 business postings may still appear on FIT's Workday/jobs portal later this fall, and the candidate could re-check fit.edu/hr and HigherEdJobs in November-December 2026.
Result: no current-cycle research faculty postings qualify. | JOB-BOARD SWEEP (shared with paired school): found 0 new. I ran one extended WebSearch: ("Embry-Riddle Aeronautical University" OR "Florida Institute of Technology") assistant professor tenure-track ("information systems" OR analytics OR "data science" OR "supply chain" OR operations OR "management science" OR "business analytics") 2027. It was restricted to higheredjobs.com, chronicle.com, insidehighered.com, academickeys.com, linkedin.com, indeed.com, aisnet.org, informs.org, careers.erau.edu, erau.wd1.myworkdayjobs.com, jobs.fit.edu and fit.edu.
WH | IS-FOCUSED SWEEP (shared with 3 schools): found 0 new. I ran one extended WebSearch, limited to aisnet.org, higheredjobs.com, chronicle.com, insidehighered.com, academickeys.com, informs.org, linkedin.com and indeed.com. The query covered all four schools together with IS, MIS, business analytics, data analytics, IT and decision sciences terms, plus "assistant professor tenure-track 2027". It found no IS, MIS or business analytics tenure-track posting in any of the four business schools: ERAU O'Maley College of Business, Florida Tech Bisk College of</t>
  </si>
  <si>
    <t xml:space="preserve">Found 1 new research posting(s). 1 search(es). I ran one extended WebSearch on the open web: "Georgia Southern University" Parker College of Business tenure-track assistant professor position August 2027. Results: (1) The FMA job board's Georgia listing page (jobs.fma.org/jobs/state/georgia/) shows a Parker College of Business Department of Finance tenure-track Assistant Professor opening, "academic 10 month, tenure-track", Job Opening #295408, "posted 30+ days ago". The snippet shows no start date and no deadline. I report it as current-cycle with medium/low confidence because it appears among recent listings. It scores 0, since finance is outside the candidate's field. (2) An AEA JOE listing for an Assistant Professor in Parker's Department of Economics was posted 10/06/2025, with screening from November 1, 2025. That is the PRIOR cycle (2026 start), so I excluded it as closed. (3) The other Georgia Southern postings that came back are tenure-track Assistant Professor lines with a preferred start of August 1, 2027, all outside the business school: Digital History &amp; Public Humanities, Biomaterials, Materials Science, Physics and Southern American Literature (on insidehighered.com and jobs.chronicle.com). This confirms the 2027 hiring cycle is active at Georgia Southern. None are in an IS-adjacent unit (iSchool, informatics or data science), so I excluded them. (4) There is also a Wikipedia page for Allen Amason (background only). No posting surfaced from the Dept. of Information Systems &amp; Analytics, Logistics &amp; SCM, School of Accountancy or Management, either research or non-research (lecturer/clinical). Round 1 had found only temporary Management faculty lines, which are non-research. Recommendation: the candidate should check Georgia Southern's own careers portal (USG OneUSG careers, searching "Parker College") and the IS &amp; Analytics department directly. An IS/analytics line may be posted later in the cycle and did not show up in this single search. | JOB-BOARD SWEEP (shared with paired school): found 0 new. I ran one extended WebSearch: ("Clark Atlanta University" OR "Georgia Southern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cau.edu, georgiasouthern.edu and jobs.georgiasouthern.edu.
It returned 10 results. None was a | IS-FOCUSED SWEEP (shared with 3 schools): found 1 new. I ran one extended WebSearch on the 8 job-board domains I was given (aisnet.org, higheredjobs.com, chronicle.com, insidehighered.com, academickeys.com, informs.org, linkedin.com, indeed.com), querying all 4 schools with IS, analytics and decision-sciences terms. Coverage was thin, and the search tool said it simplified the boolean query.
Clark Atlanta University (School of Business): no faculty posting in IS, analytics, OM or supply chain appeared.
Mercer University (Stetson-Hatcher School of </t>
  </si>
  <si>
    <t xml:space="preserve">Icahn School of Medicine at Mount Sinai</t>
  </si>
  <si>
    <t xml:space="preserve">Found 1 new research posting(s). 1 search(es). Query (extended, open web): "Illinois Institute of Technology" OR "Illinois Tech" Stuart School of Business tenure-track assistant professor faculty position 2027. Round 1 had been limited to IIT domains and Interfolio, so this search covered the open web and job boards. No posting for a Fall 2027 start at Stuart's Chicago campus came back. Excluded: (1) Assistant Professor of Finance, tenure-track, Fall 2025 (iit.edu PDF, 2024-11). This is a prior cycle and is closed, and finance would score 0 anyway. (2) The Stuart 'Open Faculty Positions' page (https://www.iit.edu/stuart/about/open-faculty-positions-stuart) lists three Business Analytics positions, including a tenure-track Assistant Professor, that need a PhD by August 2026. That is the 2025-26 cycle, already noted as closed in round 1. (3) An 'Assistant Professor of Business Analytics and Strategy' (Chicago) appears on a job board with no date. It looks like the same prior-cycle Stuart analytics search, so it is not counted as current. (4) The Stuart dean search (provost executive search and searchlink.cloud) is an administrative role, not a research line. (5) Illinois Tech Mumbai campus (run with Emeritus): 'Assistant Professor of Business Administration - Mumbai, India' (Times Higher Education unijobs 416030) and 'Assistant / Associate / Full Professor of Business Administration, Illinois Tech, Mumbai Campus' (pitchmeai). The results do not show the track. The search summary says most Mumbai openings other than the analytics one are non-tenure-track teaching roles. These are general business administration lines (fit 0-1), so they are left out of postings. The Mumbai Business Analytics line is reported below with low confidence. It is in India, not the US, and its research or tenure status and dates rest only on job-board copies. No iSchool or computing tenure-track line in IS, HCI or data science came back. Iit7.peopleadmin.com also appeared as an IIT job portal and is worth checking directly. The candidate should keep checking the Stuart open-positions page later in Fall 2026, because Stuart has hired in analytics repeatedly. | JOB-BOARD SWEEP (shared with paired school): found 2 new. I ran one extended WebSearch with this query: ("Illinois Institute of Technology" OR "Northern Illinois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employment.niu.edu, iit.edu and apply.interfolio.com.
It returned 10 | IS-FOCUSED SWEEP (shared with 3 schools): found 0 new. I ran one extended WebSearch, as the budget allowed, limited to aisnet.org, higheredjobs.com, chronicle.com, insidehighered.com, academickeys.com, informs.org, linkedin.com and indeed.com. The query covered all four schools together: ("Illinois Institute of Technology" OR "Northern Illinois University" OR "Wichita State University" OR "Louisiana Tech University") ("information systems" OR "MIS" OR "business analytics" OR "data analytics" OR "information technology" OR "decision sciences") assist</t>
  </si>
  <si>
    <t xml:space="preserve">Indiana University of Pennsylvania</t>
  </si>
  <si>
    <t xml:space="preserve">Found 0 new research posting(s). 1 search(es). Round 2 (Oct 15, 2026): ran one extended WebSearch with no domain restriction, so it could reach job boards that the round-1 iup.edu-only search missed. Query: "Indiana University of Pennsylvania" Eberly College of Business tenure-track assistant professor position fall 2027. No current-cycle research faculty posting for IUP appeared, in Eberly or in any IS-adjacent unit. What came back: (1) Mostly Indiana University (Bloomington) postings on indiana.peopleadmin.com. This is a different university. Examples: a Kelley School International Business TT assistant / tenured associate line starting 08/01/2027, and a Kelley Business Economics &amp; Public Policy open-rank Fall 2027 line due Nov 16, 2026. Both were excluded because they are not IUP. (2) An old Eberly management-faculty call (entrepreneurship, international business, operations/supply chain) effective August 2013. Excluded as a long-closed prior cycle. (3) An academicjobs.com employer page for IUP. The snippet showed only a 2026 band director opening, which is non-business and non-research, so it was excluded. (4) A general Chronicle 'Faculty Positions in Pennsylvania' listing page with no IUP business line visible in the snippet. (5) General pages: an Eberly catalog page, a Princeton Review profile, a globalEDGE entry, and an academicjobs.fandom Communication &amp; Media Studies 2026-27 wiki. None held an IUP business posting. No non-research IS/analytics line (lecturer/clinical/instructor) at IUP turned up either. Round 1 had only noted that the Management dept. directory lists an Instructor rank. Caveat: IUP is a PASHE school and posts on its own careers site (careers.iup.edu / PeopleAdmin), which these results did not index directly. So this search does not prove that no posting exists. The candidate could check careers.iup.edu and the Eberly Management (IS/Decision Sciences/Supply Chain) and Accounting &amp; IS departments directly. | JOB-BOARD SWEEP (shared with paired school): found 0 new. I ran one extended WebSearch. Query: ("Indiana University of Pennsylvania" OR "Saint Joseph's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jobs.sju.edu, iup.peopleadmin.com, careers.iup.edu.
The search returned 7 resul | IS-FOCUSED SWEEP (shared with 3 schools): found 0 new. I ran one extended WebSearch, limited to aisnet.org, higheredjobs.com, chronicle.com, insidehighered.com, academickeys.com, informs.org, linkedin.com and indeed.com. The query named all four schools together with IS, MIS, business analytics, data analytics, information technology and decision sciences terms, plus "assistant professor tenure-track 2027". It returned no current-cycle tenure-track or tenured research faculty posting at Portland State University (School of Business), Duquesne Univer</t>
  </si>
  <si>
    <t xml:space="preserve">Found 2 new research posting(s). 1 search(es). One extended WebSearch: "Jackson State University" College of Business tenure-track assistant professor faculty position 2027. Results were mostly aggregator and background pages: Indeed (q-Jackson-State-University-jobs, "Now Hiring: 75 Jackson State University Jobs"; q-jackson-state-university-professor-jobs), Glassdoor ("83 Open Positions"), AcademicJobs salary page, a 2011 JSU Faculty Handbook PDF, a JSU faculty profile (Geungu Yu, Associate Professor of Finance), the JSU graduate-faculty catalog, and a Substack post about Mississippi State University (a different school, so excluded). The search found no official JSU HR, governmentjobs.com/NEOGOV, HigherEdJobs or Chronicle posting for a 2027-start College of Business line. The Indeed listings named three College of Business openings, but the results showed no posting dates, deadlines or start dates for them: (1) a full-time, tenure-track Assistant/Associate Professor of Accounting in the Department of Accounting; (2) an Assistant/Associate Professor of Entrepreneurship, teaching undergraduate and graduate entrepreneurship and related courses; (3) a Visiting Assistant Professor of Business Analytics. Items (1) and (2) are reported below as research lines with LOW open-confidence. They are still listed on Indeed, which usually drops expired ads, but they could be leftovers from the 2026 cycle and should be checked on jsums.edu/hr/employment-opportunities or governmentjobs.com before applying. NOTABLE NON-RESEARCH IS/ANALYTICS LINE: item (3), the Visiting Assistant Professor of Business Analytics, is a visiting (non-tenure-track) role, so it is not reported as a research line. Its field is close to the candidate's (business analytics, roughly fit 4 by field), and it could be a fallback option if it is still open; no date, deadline or start date was shown. No IS/MIS, OM/SCM or IS-adjacent (computing/informatics) tenure-track line was found. Round 1 (Oct 13) likewise found no IS/analytics tenure-track posting. | JOB-BOARD SWEEP (shared with paired school): found 0 new. I ran one extended WebSearch: ("Jackson State University" OR "Wake Forest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apply.interfolio.com, jsums.edu and wfu.edu. It returned 10 results, and none was a current-cycle t | IS-FOCUSED SWEEP (shared with 3 schools): found 0 new. I ran one extended WebSearch across all 4 schools using IS, MIS, analytics and decision-sciences terms, limited to aisnet.org, higheredjobs.com, chronicle.com, insidehighered.com, academickeys.com, informs.org, linkedin.com and indeed.com. It found no new current-cycle research-faculty posting in IS or analytics at any of the four schools. The only matching posting was Western Michigan University's "Assistant Professor - Business Information Systems - Tenure Track" at Haworth College of Business</t>
  </si>
  <si>
    <t xml:space="preserve">Kean University</t>
  </si>
  <si>
    <t xml:space="preserve">Found 0 new research posting(s). 1 search(es). Round 2 used one extended WebSearch with no domain restriction, since round 1 had already covered kean.edu and kean.interviewexchange.com. Query: "Kean University" tenure-track assistant professor business (information systems OR analytics OR accounting OR finance OR marketing OR management) Fall 2027 faculty position.
No current-cycle (Fall 2027) research faculty posting turned up in the College of Business and Public Management (IS, analytics, OM/SCM, accounting, finance, marketing, management or global business). No IS-adjacent computing or data-science tenure-track line turned up either.
Results seen and why each was excluded:
(1) HigherEdJobs Kean postings for "Assistant/Associate Professor 10 Months ... Fall 2026": Psychology (JobCode 179361351, multiple positions), Fine Arts (179361309), Educational Leadership and Secondary Education (179361310), Elementary and PE/Health Education (179361352) and Biological Sciences (179336346). All are prior-cycle (start Fall 2026, effective Sept 1, 2026) and none is in business or an IS-adjacent field.
(2) "Clinical Assistant/Associate Professor 12 Months, Department of Physical Therapy, Fall 2026" (179327302) is clinical, non-business and prior-cycle.
(3) "2027 Biology Tenure Track Assistant/Associate Professor" (HigherEdJobs 179582057) appears to be a Wenzhou-Kean (China campus) Biology line. It is current-cycle but non-business and not IS-adjacent, so it is excluded. A Wenzhou-Kean Ed.D./Educational Leadership 2027 opening was also mentioned, and it is non-business.
(4) "Anticipated Faculty Positions 2019-2020" (Wenzhou-Kean) listed business faculty in marketing and business law, with data analytics and statistics preferred. It is expired.
(5) The Kean tenure and promotion guidelines (April 2025) are not a posting.
No non-research IS/analytics lines (lecturer or clinical) were noticed in the business college. Kean posts its annual 'Anticipated Tenure-Track Faculty Positions' list and HigherEdJobs ads in batches. Its Fall 2026 batch used the "Assistant/Associate Professor 10 Months, Department of X, Fall 2026" title pattern. Fall 2027 business lines may appear later in the cycle. The candidate could check https://www.higheredjobs.com/institution/search.cfm?University=Kean+University and Kean HR periodically. | JOB-BOARD SWEEP (shared with paired school): found 0 new. I ran one extended WebSearch on 2026-10-15. Query: ("Creighton University" OR "Kean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creighton.edu, kean.edu, kean.interviewexchange.com and creighton.wd1.myworkdayjobs.com.
 | IS-FOCUSED SWEEP (shared with 3 schools): found 0 new. I ran one extended WebSearch on aisnet.org, higheredjobs.com, chronicle.com, insidehighered.com, academickeys.com, informs.org, linkedin.com and indeed.com. It asked about all 4 schools at once, using IS, MIS, business analytics, data analytics, IT and decision sciences terms with "assistant professor tenure-track 2027". It found no new current-cycle research-track IS or analytics posting at any of the four schools.
(1) Rutgers University-Newark: the only matching tenure-track result was the Rut</t>
  </si>
  <si>
    <t xml:space="preserve">LSU Health Sciences Center New Orleans</t>
  </si>
  <si>
    <t xml:space="preserve">LA</t>
  </si>
  <si>
    <t xml:space="preserve">Loma Linda University</t>
  </si>
  <si>
    <t xml:space="preserve">Long Island University</t>
  </si>
  <si>
    <t xml:space="preserve">Found 0 new research posting(s). 1 search(es). Ran one extended WebSearch with no domain restriction: "Long Island University" business assistant professor tenure-track faculty position Fall 2027 (information systems OR analytics OR management OR finance OR accounting OR marketing). Round 1 had been limited to LIU domains, so this search was meant to also reach outside job boards. The results included the LIU job board (https://jobs.liu.edu/, "196 career opportunities found", undated), plus Indeed, ZipRecruiter and Glassdoor listing pages. None of them showed a current-cycle tenure-track or tenured business-school faculty line in any field, and no research line appeared in an IS-adjacent non-business unit. Excluded results: (1) Adjunct Assistant Professor, Business Administration, LIU Brookville (Post), at $1,000-$1,350 a month. It is adjunct, so not a research line, and it matches the adjunct pool round 1 already excluded. (2) Assistant/Associate Professor, tenure-track, Communication Sciences and Disorders at LIU Post (https://jobs.liu.edu/job_details/4920). It starts 09/01/2026 (prior cycle) and is outside business and IS. (3) Assistant Professor of Media Arts and Film, LIU Brooklyn Polk School, starting January 2027. It is labeled adjunct and is not business. (4) Tenure-track Counseling and Development and PsyD Clinical Psychology postings, which are not business or IS. An Embry-Riddle business-law posting and an NYU policy page were unrelated to LIU. No non-research IS or analytics line (lecturer or clinical) turned up. The business units are LIU Post Hillwood/College of Management and the LIU Brooklyn School of Business, and a Fall 2027 line could still be posted later in the cycle on jobs.liu.edu. | JOB-BOARD SWEEP (shared with paired school): found 0 new. I ran one extended WebSearch: ("Clarkson University" OR "Long Island University") assistant professor tenure-track ("information systems" OR analytics OR "data science" OR "supply chain" OR operations OR "management science" OR "business analytics") 2027. I limited it to higheredjobs.com, chronicle.com, insidehighered.com, academickeys.com, linkedin.com, indeed.com, aisnet.org, informs.org, jobs.liu.edu and clarkson.edu.
No current-cycle tenure-track or tenured research faculty line at either s | IS-FOCUSED SWEEP (shared with 3 schools): found 0 new. I ran one extended WebSearch, limited to aisnet.org, higheredjobs.com, chronicle.com, insidehighered.com, academickeys.com, informs.org, linkedin.com and indeed.com. It combined all 4 school names with IS, MIS, business analytics, data analytics, IT and decision sciences terms, plus "assistant professor tenure-track 2027". None of the results was a current-cycle tenure-track or tenured research faculty line in IS, analytics, decision sciences, OM/SCM or management science at these 4 schools, so </t>
  </si>
  <si>
    <t xml:space="preserve">Louisiana Tech University</t>
  </si>
  <si>
    <t xml:space="preserve">Found 0 new research posting(s). 1 search(es). I ran one extended WebSearch: "Louisiana Tech University" College of Business tenure-track assistant professor computer information systems 2027 faculty position. It returned 10 results: the College of Business Employment Opportunities page (https://www.latech.edu/business/about/employment-opportunities.php), CoB faculty-research, Center for Information Assurance, the directory and catalog pages, an AcademicKeys who's-who page, a LinkedIn profile, and one Computer Science posting (Workday R-1559, also on HigherEdJobs). No posting with a 2027 start or a 2026-27 search turned up.
EXCLUDED as prior cycle: the CoB Employment Opportunities page still lists an "Assistant Professor of Computer Information Systems" and an "Eminent Scholar Chair in Computer Information Systems". Per the result summary, both are for positions "commencing Fall 2026". The summary also says the page was about 40 days old when indexed, so roughly early September 2026, but it showed no new Fall 2027 dates. Round 1 found the same two listings. Fall 2026 is already past, so under the open rule these count as closed and are not reported. They would have been fit 5 (IS lines in a business school), so it is worth checking this page again later in the cycle in case a Fall 2027 CIS line is posted. The CIS department houses the Center for Information Assurance, which is an NSA Center of Academic Excellence in Cyber Defense.
EXCLUDED as out of scope: "Assistant Professor, Computer Science" (R-1559), College of Engineering and Science. It is tenure-track and open until filled, focused on cybersecurity and cyber operations. Links: https://ulsltu.wd503.myworkdayjobs.com/en-US/LATECHCareers/job/Assistant-Professor--Computer-Science_R-1559 and https://www.higheredjobs.com/faculty/details.cfm?JobCode=179242669. It is a core CS cybersecurity line, not IS, HCI, social computing, applied AI or data science. The results gave no posting date or start year, so I could not confirm it is current-cycle. The candidate's work on the creator economy, platforms and IS economics does not match a CS cyber-operations line, so it is listed here only for reference.
No non-research IS or analytics lines (lecturer, clinical or instructor) appeared in the results. No visa-sponsorship or industry-experience wording was seen. | JOB-BOARD SWEEP (shared with paired school): found 0 new. I ran one extended WebSearch: ("Wichita State University" OR "Louisiana Tech University")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jobs.wichita.edu, wichita.edu and latech.edu. Results came back as: jobs.wichita.edu (main ca | IS-FOCUSED SWEEP (shared with 3 schools): found 0 new. I ran one extended WebSearch, as the budget allowed, limited to aisnet.org, higheredjobs.com, chronicle.com, insidehighered.com, academickeys.com, informs.org, linkedin.com and indeed.com. The query covered all four schools together: ("Illinois Institute of Technology" OR "Northern Illinois University" OR "Wichita State University" OR "Louisiana Tech University") ("information systems" OR "MIS" OR "business analytics" OR "data analytics" OR "information technology" OR "decision sciences") assist</t>
  </si>
  <si>
    <t xml:space="preserve">Found 1 new research posting(s). 1 search(es). Ran one extended WebSearch with no domain restriction, since round 1 limited to LMU domains found nothing: "Loyola Marymount University" College of Business Administration tenure-track assistant professor faculty position Fall 2027. It returned results from HigherEdJobs, the LMU Workday portal, ZipRecruiter, Tsenta, TealHQ and SBE. QUALIFYING: one current-cycle research line, Tenure Track Assistant Professor, Finance (CBA). It starts Aug 15, 2027 and was posted about 101 days before the search, around early July 2026. Finance scores 0 for this candidate. EXCLUDED: (1) Assistant Professor, Tenure Track, Marketing (HigherEdJobs 179185700 and ZipRecruiter). It starts Fall 2026, so it is a prior cycle and closed. (2) An earlier Assistant Professor, Tenure Track, Finance posting (HigherEdJobs 179201288, Workday R12536-1) says "Position available: August 2026", so it is also a prior cycle and closed. The search summary paired the 2027 start date with one listing but not the other, and the JobCode numbering points to 179489839 as the newer listing. Even so, the mapping of the 2026 and 2027 Finance postings to their URLs is an inference and should be verified. (3) "Assistant Professor of Management" (HigherEdJobs 179495938, Fall 2027) belongs to Loyola University Maryland, a different institution. (4) The TealHQ marketing listing is for Marymount University, not LMU. (5) The SBE 2021 posting is old. The search showed no tenure-track, clinical or lecturer posting in Information Systems and Business Analytics, operations or supply chain at LMU for 2027, and no IS-adjacent non-business line such as computer science or data science surfaced. The LMU Join Our Faculty page and Workday listing pages did not appear in the results, so other 2027 CBA lines cannot be ruled out. | JOB-BOARD SWEEP (shared with paired school): found 0 new. I ran one extended WebSearch. Query: ("Claremont Graduate University" OR "Loyola Marymount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cgu.edu, lmu.edu, lmu.wd1.myworkdayjobs.com. It returned 10 links. None was a curre | IS-FOCUSED SWEEP (shared with 3 schools): found 0 new. I ran one extended WebSearch limited to aisnet.org, higheredjobs.com, chronicle.com, insidehighered.com, academickeys.com, informs.org, linkedin.com and indeed.com. The query named all four schools together with IS, MIS, business analytics, data analytics, IT and decision-sciences terms, plus "assistant professor tenure-track 2027". It turned up no new current-cycle tenure-track or tenured research posting in IS, analytics, decision sciences, OM/SCM or management science at any of the four schoo</t>
  </si>
  <si>
    <t xml:space="preserve">Medical College of Wisconsin</t>
  </si>
  <si>
    <t xml:space="preserve">Mercer University</t>
  </si>
  <si>
    <t xml:space="preserve">Found 0 new research posting(s). 1 search(es). Round 2 used one extended WebSearch: "Mercer University Stetson-Hatcher School of Business assistant professor tenure-track faculty position 2027". It was limited to these job-board and HR domains: higheredjobs.com, chronicle.com, insidehighered.com, academickeys.com, indeed.com, linkedin.com, mercer.wd5.myworkdayjobs.com, jobs.mercer.edu, aacsb.edu, glassdoor.com and ziprecruiter.com. This complements round 1, which searched only mercer.edu. No current-cycle (2027 start) research faculty posting was found in the business school or in any IS-adjacent unit, so postings is []. The search returned four kinds of results. (1) LinkedIn profiles of existing Stetson-Hatcher faculty: Associate Professors of Management &amp; Entrepreneurship Stenard and Horn, and Associate Professor Arnab Nayak. These are not postings. (2) The AACSB accreditation page for Mercer's Macon and Atlanta campuses. (3) A Glassdoor aggregator page, "Mercer University Assistant Professor Tenure Track Jobs in Atlanta", with no specific business posting shown. (4) Two actual postings, both excluded: (a) HigherEdJobs "Faculty, Marketing" (https://www.higheredjobs.com/institution/details.cfm?JobCode=179331755), a full-time tenure-track Stetson-Hatcher marketing faculty line on the Macon campus. Its main teaching needs are marketing analytics and graduate marketing strategy, and it asks for a marketing degree plus peer-reviewed publishing or the potential for it. It is excluded as prior-cycle: the start date is August 2026, which has already passed. The HigherEdJobs listing still shows an expiration of June 30, 2027, so the department may re-advertise it or still accept applications. Even then it would score only about 2 (marketing analytics) and prefers a marketing degree the candidate does not have. A direct check of jobs.mercer.edu or HigherEdJobs could confirm whether a 2027 version exists. (b) Chronicle "Assistant Professor, Applied Psychology" (https://jobs.chronicle.com/job/38044561/assistant-professor-applied-psychology/), a tenure-track August 2027 line in the College of Liberal Arts and Sciences. It is excluded because it is not a business unit, not IS-adjacent, and requires a PhD in applied psychology or a related field. No non-research IS or analytics lines (lecturer or clinical) turned up. Round 1 found an existing Assistant Professor of Supply Chain Management and Analytics and an MSBA program in the faculty directory, so Stetson-Hatcher does hire in analytics, but no open line was visible in either round. No sponsorship or industry-experience wording was seen. | JOB-BOARD SWEEP (shared with paired school): found 0 new. I ran one extended WebSearch on 2026-10-15. Query: ("Mercer University" OR "Boise State University") assistant professor tenure-track ("information systems" OR analytics OR "data science" OR "supply chain" OR operations OR "management science" OR "business analytics" OR "information technology management") 2027. Allowed domains: higheredjobs.com, chronicle.com, insidehighered.com, academickeys.com, linkedin.com, indeed.com, aisnet.org, informs.org, jobs.boisestate.edu, jobs.mercer.edu, mercer.wd | IS-FOCUSED SWEEP (shared with 3 schools): found 0 new. I ran one extended WebSearch on the 8 job-board domains I was given (aisnet.org, higheredjobs.com, chronicle.com, insidehighered.com, academickeys.com, informs.org, linkedin.com, indeed.com), querying all 4 schools with IS, analytics and decision-sciences terms. Coverage was thin, and the search tool said it simplified the boolean query.
Clark Atlanta University (School of Business): no faculty posting in IS, analytics, OM or supply chain appeared.
Mercer University (Stetson-Hatcher School of </t>
  </si>
  <si>
    <t xml:space="preserve">Found 0 new research posting(s). 1 search(es). I ran 1 extended WebSearch on Oct 15, 2026 with the query "Middle Tennessee State University Jones College of Business assistant professor tenure-track August 2027". I limited it to careers.mtsu.edu, mtsu.edu, higheredjobs.com, chronicle.com, insidehighered.com, academickeys.com, indeed.com and linkedin.com. It found no current-cycle (2027-start) research faculty posting in the Jennings A. Jones College of Business, and none in an IS-adjacent non-business unit.
What came back:
(1) MTSU policy pages: Policy 204 on tenure and Policy 202 on faculty roles and appointment types. The search summary says tenure-track appointments typically come from a national search and need a terminal degree.
(2) The Board of Trustees AASLA materials PDF.
(3) The AY 2025-26 full-time faculty book, which is a roster, not a posting.
(4) A HigherEdJobs posting "Marketing, Tenure-Track Faculty" (JobCode=178933216; https://www.higheredjobs.com/faculty/details.cfm?JobCode=178933216). It is for two tenure-track Assistant/Associate marketing lines starting August 1, 2025. That is a prior cycle, so I treat it as closed and excluded it. It would also score 0, since general marketing is outside the candidate's field.
(5) HigherEdJobs "Elementary Education, Tenure-Track Faculty" (JobCode=179268064), starting August 1, 2026. It is outside business and a prior cycle, so I excluded it.
(6) The HigherEdJobs institution listing page (https://www.higheredjobs.com/institution/search.cfm?aID=754&amp;SortBy=5). Its individual current listings did not appear in the results.
(7) The Jones College home page, the Management faculty directory, and an Indeed aggregate page. None of these is a posting.
I saw no current-cycle IS/analytics lecturer, clinical or other non-research lines either. Round 1 on Oct 13 found the same: only rosters and non-business lecturer openings starting Aug 2026.
Gap: the careers.mtsu.edu listing and the HigherEdJobs institution page may hold 2026-27 postings that the search index does not show. Fall 2026 Jones College searches in Information Systems and Analytics or in Supply Chain Management may not be indexed yet. It is worth checking https://careers.mtsu.edu/ and the HigherEdJobs aID=754 page directly. I saw no sponsorship or industry-experience wording. | JOB-BOARD SWEEP (shared with paired school): found 1 new. I ran one extended WebSearch, limited to these domains: higheredjobs.com, chronicle.com, insidehighered.com, academickeys.com, linkedin.com, indeed.com, aisnet.org, informs.org, careers.mtsu.edu, jobs.etsu.edu and etsu.wd1.myworkdayjobs.com. The query was: ("East Tennessee State University" OR "Middle Tennessee State University") assistant professor tenure-track ("information systems" OR analytics OR "data science" OR "supply chain" OR operations OR "management science" OR "business analytics")  | IS-FOCUSED SWEEP (shared with 3 schools): found 0 new. I read all 4 item files; none lists a known posting. I ran one extended WebSearch, limited to aisnet.org, higheredjobs.com, chronicle.com, insidehighered.com, academickeys.com, informs.org, linkedin.com and indeed.com. The query was a Boolean string naming all 4 schools plus IS/MIS/business analytics/data analytics/IT/decision sciences, assistant professor, tenure-track and 2027. The search engine noted it had to simplify the Boolean string. No new current-cycle research faculty line in IS, anal</t>
  </si>
  <si>
    <t xml:space="preserve">Morgan State University</t>
  </si>
  <si>
    <t xml:space="preserve">MD</t>
  </si>
  <si>
    <t xml:space="preserve">Found 0 new research posting(s). 1 search(es). Ran one extended WebSearch with no domain restriction: "Morgan State University" Graves School of Business tenure-track assistant professor faculty position 2026-2027. Results included morgan.peopleadmin.com/postings/8053, the ISS department job-openings pages (assistant-professor-is and is-cybersecurity), a ZipRecruiter copy titled "Assistant Professor, Information Systems", Indeed aggregate pages, and the Graves School faculty directory. EXCLUDED: (1) A Graves School Dept. of Information Science and Systems tenure-track Assistant Professor posting with a data-analytics focus applied to business. It requires a doctorate "expected by August 2026" in MIS, IT, Management Science, Decision Sciences or Operations Research, plus research experience in enterprise-level data analytics. Teaching covers data analytics, IS and/or project management, online and in person. One listing gave the assistant-professor salary as $75,000 to $120,000. This is an August 2026 start, so it is a prior cycle and treated as closed. The results showed no closing date. The URLs are morgan.peopleadmin.com/postings/8053 (which posting this is was not confirmed in the results) and the ZipRecruiter copy. Its field would have scored 5 for the candidate. (2) The ISS "Assistant Professor IS - Several Openings" posting (data analytics, sports analytics, cybersecurity, AI, supply chain), which starts August 2024 or earlier, so it is a prior cycle. (3) The ISS "Assistant/Associate Professor IS - Cybersecurity" posting, which starts August 2021, so it is a prior cycle. No 2027-start posting and no future deadline appeared for any Graves School department (ISS, Accounting &amp; Finance, Business Administration) or for any IS-adjacent non-business unit. No sponsorship or industry-experience wording was seen. No non-research IS/analytics lines (lecturer or clinical) were seen. The ISS department hires IS, analytics and AI tenure-track faculty almost every year (2021, 2024, 2026 cycles), so a 2027-start re-posting is plausible. The candidate should check https://morgan.peopleadmin.com/postings/search and https://www.morgan.edu/information-science-and-systems/job-openings again. | JOB-BOARD SWEEP (shared with paired school): found 0 new. I ran one extended WebSearch. Query: ("Morgan State University" OR "University of New England")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morgan.edu, morgan.peopleadmin.com, une.peopleadmin.com, une.edu.
What came back for Morga | IS-FOCUSED SWEEP (shared with 3 schools): found 0 new. I ran one extended WebSearch, limited to aisnet.org, higheredjobs.com, chronicle.com, insidehighered.com, academickeys.com, informs.org, linkedin.com and indeed.com. The query covered all 4 schools plus IS/MIS/business analytics/data analytics/IT/decision sciences, with "assistant professor tenure-track 2027". No posting met the inclusion rules (current cycle, research or tenure-track, deadline on or after 2026-10-15 or open until filled). (1) MORGAN STATE: Indeed pages (indeed.com/q-morgan-stat</t>
  </si>
  <si>
    <t xml:space="preserve">Northern Illinois University</t>
  </si>
  <si>
    <t xml:space="preserve">Found 0 new research posting(s). 1 search(es). Query (extended, no domain restriction, to widen beyond round 1's niu.edu-only search): "Northern Illinois University" College of Business tenure-track assistant professor faculty position 2027. Results: employment.niu.edu/postings/86893 and the NIU PeopleAdmin faculty search listing pages; niu-sb.peopleadmin.com/position_descriptions/16215; a 2020 NIU Business news article on tenure-track researchers (old, not a posting); an AcademicKeys who's-who page; NIU promotion-and-tenure guidelines, Board regulations, the UFA collective bargaining agreement and the non-tenure-track appointment policy. None of these is a College of Business posting. The search summary said the tenure-track postings that came back are in other colleges: a kinesiology position posted September 2025 with a priority review date of 10/27/2025 (prior cycle, outside the candidate's field) and a School of Nursing role starting August 2026 (prior cycle, outside the candidate's field). Both are excluded. No current-cycle (2027 start) research line appeared in the Department of Operations Management and Information Systems, which would be the natural fit, or in Accountancy, Finance, Management or Marketing. No IS-adjacent non-business research line (computing, data science, informatics) appeared either. No IS or analytics lecturer, clinical or instructor posting was seen. This matches round 1. The direct check is employment.niu.edu filtered to Position Type = Faculty and College of Business, because the search engine may not index new PeopleAdmin postings. No sponsorship or industry-experience wording was seen. | JOB-BOARD SWEEP (shared with paired school): found 0 new. I ran one extended WebSearch with this query: ("Illinois Institute of Technology" OR "Northern Illinois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employment.niu.edu, iit.edu and apply.interfolio.com.
It returned 10 | IS-FOCUSED SWEEP (shared with 3 schools): found 0 new. I ran one extended WebSearch, as the budget allowed, limited to aisnet.org, higheredjobs.com, chronicle.com, insidehighered.com, academickeys.com, informs.org, linkedin.com and indeed.com. The query covered all four schools together: ("Illinois Institute of Technology" OR "Northern Illinois University" OR "Wichita State University" OR "Louisiana Tech University") ("information systems" OR "MIS" OR "business analytics" OR "data analytics" OR "information technology" OR "decision sciences") assist</t>
  </si>
  <si>
    <t xml:space="preserve">Found 1 new research posting(s). 1 search(es). Query (extended mode): "Oakland University School of Business Administration tenure-track assistant professor faculty position 2027". Results included jobs.oakland.edu pages (the faculty search listing, the page=2 listing, and postings 38939, 38584 and 32813; the snippets did not say which job title each number belongs to), an academicjobs.com article titled "Oakland University Jobs 2026", the SBA faculty directory, and unrelated Glassdoor and NYU/AOM pages.
No School of Business Administration posting with a 2027 start was confirmed.
Excluded:
(1) SBA Assistant Professor of Finance. The start date is August 15, 2026 and it needs a Finance PhD, so it is a prior-cycle, closed search. It would also be fit 0.
(2) SBA Department of Accounting Assistant Professor. It needs a PhD in accounting or equivalent from an AACSB school. The results describe it as one of the 2026-start SBA searches, so it is prior-cycle. It would also be fit 0.
(3) Non-business 2027-start lines: Political Science (American Politics, start Aug 15, 2027) and Human Development and Child Studies (Applied Behavior Analysis, start Aug 15, 2027). Both are outside the candidate's field, are not IS-adjacent, and are not business-school lines.
(4) A Visiting Assistant Professor in Early Elementary Education appeared as a listing title. It is not a research line.
Kept at LOW confidence: an aggregator (academicjobs.com) lists an SBA "Assistant/Associate Professor in Quantitative Methods in Management". The search could not verify its start date, posting date or deadline, so it may be the same 2026-start cycle as the Finance and Accounting searches. It is reported so it is not missed, but the candidate should check jobs.oakland.edu before treating it as open.
Nothing current was seen for MIS, Decision and Information Sciences, or business analytics. No non-research IS or analytics line was seen this round. The round-1 Special Instructor in Accounting was already known and was not repeated. A 2027-start SBA posting may simply not be up yet, so jobs.oakland.edu is worth rechecking later in the cycle. | JOB-BOARD SWEEP (shared with paired school): found 0 new. I ran one extended WebSearch on Oct 15, 2026. Query: ("Oakland University" OR "Western Michigan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jobs.oakland.edu, wmujobs.org. The search engine dropped the boolean operators | IS-FOCUSED SWEEP (shared with 3 schools): found 0 new. I ran one extended WebSearch across all 4 schools using IS, MIS, analytics and decision-sciences terms, limited to aisnet.org, higheredjobs.com, chronicle.com, insidehighered.com, academickeys.com, informs.org, linkedin.com and indeed.com. It found no new current-cycle research-faculty posting in IS or analytics at any of the four schools. The only matching posting was Western Michigan University's "Assistant Professor - Business Information Systems - Tenure Track" at Haworth College of Business</t>
  </si>
  <si>
    <t xml:space="preserve">Oklahoma State University Center for Health Sciences</t>
  </si>
  <si>
    <t xml:space="preserve">Oregon Health &amp; Science University</t>
  </si>
  <si>
    <t xml:space="preserve">Pepperdine University</t>
  </si>
  <si>
    <t xml:space="preserve">Found 0 new research posting(s). 1 search(es). One extended WebSearch with no domain restriction (round 1 had been limited to Pepperdine domains): "Pepperdine Graziadio Business School assistant professor tenure-track faculty position 2027 (information systems OR analytics OR accounting OR finance OR marketing OR management)". The search found no current-cycle (start 2027) research faculty posting at the Graziadio Business School and none in an IS-adjacent non-business unit. Excluded or non-qualifying results: (1) A Pepperdine University "Assistant/Associate Professor of Organization Theory &amp; Management" (PGBS, tenure-track) thread on the AOM OMT community board. It is from 2019 and had an August 1 start, so it belongs to a prior cycle and is closed. Its field would also score 0 for the candidate. (2) "Adjunct Faculty Pool (Online), Pepperdine Graziadio Business School" on careers.pageuppeople.com/676 (job 503296), an adjunct pool and not a research line. The search summary also mentions an "Associate Professor of Finance", but that title was not shown as a job listing. (3) Pepperdine's Seaver College reportedly advertises tenure-track roles starting August 2027, such as Early American Literature in the Humanities and Teacher Education Division. These are outside the business school and outside IS/computing, so they are not relevant. (4) The rest were faculty directory pages (Executive MBA, MSOD and Full-Time MBA faculty), Graziadio faculty research, the university tenure policy, Wikipedia and a generic Indeed search page; none is a posting. The business school's faculty pages do list a Professor of Information Systems and Technology Management, so IS exists as an area, but no open IS or analytics line was seen. Pepperdine's job portal appears to run on PageUp (careers.pageuppeople.com/676), and the candidate could check it directly for new Graziadio postings. No non-research IS/analytics lecturer or clinical lines were seen. This agrees with round 1, which found the faculty employment page listing Graziadio with "no open positions". | JOB-BOARD SWEEP (shared with paired school): found 0 new. I ran one extended WebSearch: ("Pepperdine University" OR "San Francisco State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pepperdine.edu, sfsu.edu, careers.sfsu.edu and apply.interfolio.com.
The results showed no cu | IS-FOCUSED SWEEP (shared with 3 schools): found 0 new. Third-angle check (2026-10-15): I ran one extended WebSearch limited to aisnet.org, higheredjobs.com, chronicle.com, insidehighered.com, academickeys.com, informs.org, linkedin.com and indeed.com. The query covered all 4 schools together, with IS, MIS, business analytics, data analytics, IT and decision sciences terms, plus 'assistant professor tenure-track 2027'. The search engine ignored the boolean operators and searched plain keywords, so most results came from San Diego-area schools that ar</t>
  </si>
  <si>
    <t xml:space="preserve">Found 1 new research posting(s). 1 search(es). One WebSearch (extended mode). Query: "Portland State University" School of Business tenure-track assistant professor faculty position 2027. Results returned the PSU careers portal (jobs.hrc.pdx.edu search and Assistant Professor filtered views), Indeed listings for professor and business professor jobs in Portland, a JobLeads copy titled "Tenure-Track Accounting Professor — Research, Teaching &amp; Online", a toynbeeprize.org post titled "Tenure-Track Assistant Professor Position, Portland State University", and the PSU School of Business faculty directory. Only one current-cycle School of Business research line appeared: Assistant Professor in Accounting. It is a 9-month tenure-track job starting 9/16/2027, open until finalists are identified. It requires a CPA or CMA and public accounting experience. The file's round-1 note mentioned this line, but it was not on the already-known list, so it is reported here as p0 with fit 0. Excluded: (1) A Teaching Assistant Professor role ($92,148-$96,000, proposed start 03/16/2027, "Non-Tenure Track Continuous"). It is a non-research teaching line, and the results did not clearly name its unit. (2) Adjunct instructor roles for 2026-27 in management, finance and HR. These are part-time and non-research. The already-known adjunct Business Technology &amp; Analytics pool (postings/49706) is the only IS/analytics-related line seen at PSU, and it is non-research. (3) The toynbeeprize.org post. Going by its source (a history prize site), it looks like a non-business, older posting; the results gave no business-school detail. (4) The faculty directory lists current assistant professors in Business Technology &amp; Analytics, Global Supply Chain Management, Management and Marketing. It is not a job posting. The results showed no tenure-track opening in Business Technology &amp; Analytics/IS, analytics, supply chain, finance, marketing or management. Nor did they show any IS-adjacent research line outside the business school, such as computer science or data science. The search summary warned that listing dates are inconsistent: some pages show a 2027 start next to an older posting date, and one result was about 296 days old. So the accounting line's posting date could not be confirmed. The candidate should check the live posting on jobs.hrc.pdx.edu. | JOB-BOARD SWEEP (shared with paired school): found 1 new. I ran one WebSearch in extended mode. Query: ("Portland State University" OR "Duquesne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jobs.hrc.pdx.edu and apply.interfolio.com.
Results returned:
- PSU careers pages: the  | IS-FOCUSED SWEEP (shared with 3 schools): found 0 new. I ran one extended WebSearch, limited to aisnet.org, higheredjobs.com, chronicle.com, insidehighered.com, academickeys.com, informs.org, linkedin.com and indeed.com. The query named all four schools together with IS, MIS, business analytics, data analytics, information technology and decision sciences terms, plus "assistant professor tenure-track 2027". It returned no current-cycle tenure-track or tenured research faculty posting at Portland State University (School of Business), Duquesne Univer</t>
  </si>
  <si>
    <t xml:space="preserve">Prairie View A&amp;M University</t>
  </si>
  <si>
    <t xml:space="preserve">Found 0 new research posting(s). 1 search(es). I ran one extended search: "Prairie View A&amp;M University" College of Business tenure-track assistant professor faculty position 2027. It found no confirmed current-cycle research (tenure-track or tenured) posting in the College of Business (Accounting, Finance &amp; MIS; Management &amp; Marketing), and none in an IS-adjacent non-business unit. Results returned: a JBHE news item (Jan 2026) saying Aneika L. Simmons was named permanent dean of the College of Business, which is not a posting; aggregator listing pages (academiccareers.com/company/2671/, indeed.com PVAMU jobs, academicjobs.com employer 3529, workopia.io "Assistant Professor at Prairie View A&amp;M University" with department not shown); and salary pages (Glassdoor, salary.com), which are not postings. Unverified lead, not reported as a posting: the search summary said one aggregator lists an "Associate Professor in Business" tenure-track role at $90,000 to $110,000. It did not say which aggregator, the posting date, the deadline, the field, or whether the role is still open. I cannot tie it to a specific URL or confirm it is current-cycle, so it is excluded. If it turns out to be a general-business line, it would score only about 1. The candidate could check the PVAMU Workday career site (PVAMU_External) and academiccareers.com/company/2671/ for it. Other PVAMU tenure-track listings seen were outside business, for example a counseling/therapy faculty post dated Sep 25, 2026, which is not IS-adjacent and so excluded. Round 1 (Oct 13) found a non-research line, Lecturer I (Accounting) in Accounting, Finance &amp; MIS, posted 2026-06-10 and open until filled. It is not a research line and is outside the candidate's field. No new IS/analytics lecturer or clinical lines came up. PVAMU is the one R2 here with an MIS group (inside Accounting, Finance &amp; MIS), so it is worth checking the Workday portal directly later in the cycle. | JOB-BOARD SWEEP (shared with paired school): found 0 new. I read both item files first. Neither lists any known postings. Round 1 found no IS, analytics, OM or SCM line at TSU, and only a Lecturer I (Accounting) at PVAMU, which is non-research. I then ran ONE WebSearch in extended mode with this query: ("Tennessee State University" OR "Prairie View A&amp;M University") assistant professor tenure-track ("information systems" OR analytics OR "data science" OR "supply chain" OR operations OR "management science" OR "business analytics") 2027. I limited allowe | IS-FOCUSED SWEEP (shared with 3 schools): found 0 new. I read all 4 item files; none lists a known posting. I ran one extended WebSearch, limited to aisnet.org, higheredjobs.com, chronicle.com, insidehighered.com, academickeys.com, informs.org, linkedin.com and indeed.com. The query was a Boolean string naming all 4 schools plus IS/MIS/business analytics/data analytics/IT/decision sciences, assistant professor, tenure-track and 2027. The search engine noted it had to simplify the Boolean string. No new current-cycle research faculty line in IS, anal</t>
  </si>
  <si>
    <t xml:space="preserve">Found 0 new research posting(s). 1 search(es). Round 2 (2026-10-15) ran one extended WebSearch: "Rochester Institute of Technology tenure-track assistant professor Saunders College of Business OR School of Information 2027". Round 1 searched only rit.edu, so this round also searched these job boards: higheredjobs.com, chronicle.com, insidehighered.com, academickeys.com, indeed.com, linkedin.com, careers.rit.edu, rit.wd5.myworkdayjobs.com and rit.edu. No current-cycle (2027 start) research faculty posting came back for the Saunders College of Business or for the GCCIS School of Information (iSchool). These results were excluded: (1) Inside Higher Ed and LinkedIn copies of an RIT "Tenure Track Faculty" posting (https://careers.insidehighered.com/job/3430172/tenure-track-faculty/ ; https://www.linkedin.com/jobs/view/tenure-track-faculty-at-rochester-institute-of-technology-3724846669). This was a Saunders Marketing tenure-track line at Assistant or Associate level with a technology and digital marketing emphasis, but its "Anticipated Start Date 14-Aug-2024" puts it in a prior cycle, so it is closed. (2) An Industrial &amp; Systems Engineering tenure-track posting with "Anticipated Start Date: 19-Aug-2026". It is a prior cycle and outside business/IS. (3) An RIT news item about computer engineering recruiting tenure-track faculty for 2024-2025. It is a prior cycle and in engineering (https://www.rit.edu/news/department-computer-engineering-looking-tenure-track-faculty). (4) Non-posting pages: the Saunders faculty directory, the college directory, R2@Saunders, the Provost Faculty Recruitment page, the Provost Tenure and Promotion page, and an Indeed aggregate page for Rochester NY tenure-track jobs. The search turned up no non-research IS or analytics lines (lecturer, clinical) at RIT. The careers.rit.edu faculty listings still do not seem to be indexed by the search engine. RIT posts faculty openings there, so the candidate should check careers.rit.edu directly (keywords "Saunders", "Information Systems", "Analytics", "School of Information") for any fall-2026 postings the search could not see. | JOB-BOARD SWEEP (shared with paired school): found 1 new. I ran one extended WebSearch: ("Rochester Institute of Technology" OR "Yeshiva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careers.rit.edu, yu.edu.
Ten links came back: an INFORMS Career Center 'Faculty Member Jobs' p | IS-FOCUSED SWEEP (shared with 3 schools): found 0 new. I ran one extended WebSearch, limited to aisnet.org, higheredjobs.com, chronicle.com, insidehighered.com, academickeys.com, informs.org, linkedin.com and indeed.com. It combined all 4 school names with IS, MIS, business analytics, data analytics, IT and decision sciences terms, plus "assistant professor tenure-track 2027". None of the results was a current-cycle tenure-track or tenured research faculty line in IS, analytics, decision sciences, OM/SCM or management science at these 4 schools, so </t>
  </si>
  <si>
    <t xml:space="preserve">Rush University</t>
  </si>
  <si>
    <t xml:space="preserve">Rutgers University-Camden</t>
  </si>
  <si>
    <t xml:space="preserve">Found 0 new research posting(s). 1 search(es). I ran one extended WebSearch: "Rutgers University-Camden School of Business tenure-track assistant professor faculty position 2027". It found no current-cycle (2027-start) research faculty posting at the Rutgers School of Business–Camden (RSBC), and no IS-adjacent tenure-track posting at Camden. What came back, and why each item is excluded:
(1) AOM ENT discussion post, "Rutgers Universtiy-Camden Assistant Professor of Strategic Management" (ent.aom.org). This was for a September 2024 start, with a PhD in strategic management required. It is from a prior cycle and closed. Field fit would be 0 in any case.
(2) AOM OMT discussion post, "Rutgers University-Camden, School of Business Open-Rank Tenure-track Faculty position in Management with a focus on Sustainability" (omt.aom.org). This was for a Fall 2023 start, so it is from a prior cycle and closed. Field fit would be 0 in any case.
(3) POMS PDF of a supply chain management assistant professor posting at Rutgers Business School (Newark/New Brunswick), dated 2025-11, with a data analytics emphasis. It is a different Rutgers campus and school, not Camden, and it targets the 2026 cycle, so it is excluded here.
(4) Urban Affairs Association listing for an Assistant Professor (Tenure Track) in Childhood Studies at Rutgers-Camden. Start was September 1, 2026 and the deadline was December 1, 2025, so it is from a prior cycle and closed. It is also not a business or IS line.
(5) jobs.rutgers.edu/postings/282309 showed up only as the generic title "Rutgers University Employment Opportunities". The results gave no title, campus or field for it, so I could not confirm it is a Camden business or IS research line, and I did not report it. Its ID is numerically higher than the known AY 2026/27 part-time lecturer pool (278711), so it may be a recent posting. It is worth checking by hand at https://jobs.rutgers.edu/postings/282309.
(6) The other results were not postings: a ZipRecruiter page of Rutgers Law adjunct listings, a Camden new-faculty news story, a Rutgers labor-relations page on reappointment and promotion, and the RSBC faculty directory.
No IS/analytics non-research line (lecturer or clinical) at Camden turned up apart from the part-time lecturer pool already known (26FA0672). This matches the round-1 note: RSBC has no tenure-track IS/analytics posting for 2027 indexed so far. The candidate should check jobs.rutgers.edu (filter: Camden, faculty) and https://business.camden.rutgers.edu/prospective-faculty/ directly. | JOB-BOARD SWEEP (shared with paired school): found 0 new. I ran one extended WebSearch with the query ("Rutgers University-Camden" OR "Rutgers University-Newark" OR "Rutgers Business School") assistant professor tenure-track (IS / analytics / data science / supply chain / operations / management science / business analytics) 2027. I limited it to higheredjobs.com, chronicle.com, insidehighered.com, academickeys.com, linkedin.com, indeed.com, aisnet.org, informs.org and jobs.rutgers.edu. It returned 10 links.
One current-cycle research line qualified:  | IS-FOCUSED SWEEP (shared with 3 schools): found 0 new. I ran one extended WebSearch on aisnet.org, higheredjobs.com, chronicle.com, insidehighered.com, academickeys.com, informs.org, linkedin.com and indeed.com. It asked about all 4 schools at once, using IS, MIS, business analytics, data analytics, IT and decision sciences terms with "assistant professor tenure-track 2027". It found no new current-cycle research-track IS or analytics posting at any of the four schools.
(1) Rutgers University-Newark: the only matching tenure-track result was the Rut</t>
  </si>
  <si>
    <t xml:space="preserve">Found 1 new research posting(s). 1 search(es). I ran one extended WebSearch: "Rutgers Business School" tenure-track Assistant Professor OR Associate Professor faculty position Fall 2027. It was limited to jobs.rutgers.edu, jobs.chronicle.com, higheredjobs.com, academickeys.com, insidehighered.com, linkedin.com, indeed.com and business.rutgers.edu. Two current-cycle research lines came back.
(1) International Business (Department of Management &amp; Global Business), posting 26FA0721, open rank, tenure-track or tenured. It starts Fall 2027 and opened 08/11/2026.
(2) Accounting and Information Systems tenure-track Assistant Professor, posting 26FA0683. It starts 2027-28 and closes 12/31/2026. The truncated round-1 note mentions an "AIS tenure-track Assistant Pr…" posting, so this is very likely the same one and may already be in the main workbook. I report it here so the separate R2-research sheet is complete. Merge or deduplicate it by the Chronicle URL or the posting number.
Excluded: the Finance and Economics listing (Assistant/Associate Professor without tenure). It is a non-tenure-track teaching line, and a Chronicle copy also calls it non-tenure-track. I also excluded jobs.rutgers.edu/postings/280198, which the results did not describe and is probably the same Finance/Economics NTT role or another non-research line. Indeed and HigherEdJobs aggregate pages came back with nothing specific.
The results showed no tenure-track line in RBS Management Science &amp; Information Systems (MSIS) or Supply Chain Management, and none in Marketing, for this cycle. The known non-research MSIS line is still the MSIS Professional Practice (teaching-track) role from round 1, posted 2026-07-24 with a Jan 2027 start. The part-time lecturer/coadjutant (Spring 2027) and adjunct (Summer 2027) pools are already listed and not repeated. I looked for no IS-adjacent iSchool posting in Newark: Rutgers' School of Communication &amp; Information is on the New Brunswick campus, and the results showed none. Sponsorship wording: none seen. Industry-experience wording: none seen. | JOB-BOARD SWEEP (shared with paired school): found 1 new. I ran one extended WebSearch with the query ("Rutgers University-Camden" OR "Rutgers University-Newark" OR "Rutgers Business School") assistant professor tenure-track (IS / analytics / data science / supply chain / operations / management science / business analytics) 2027. I limited it to higheredjobs.com, chronicle.com, insidehighered.com, academickeys.com, linkedin.com, indeed.com, aisnet.org, informs.org and jobs.rutgers.edu. It returned 10 links.
One current-cycle research line qualified:  | IS-FOCUSED SWEEP (shared with 3 schools): found 0 new. I ran one extended WebSearch on aisnet.org, higheredjobs.com, chronicle.com, insidehighered.com, academickeys.com, informs.org, linkedin.com and indeed.com. It asked about all 4 schools at once, using IS, MIS, business analytics, data analytics, IT and decision sciences terms with "assistant professor tenure-track 2027". It found no new current-cycle research-track IS or analytics posting at any of the four schools.
(1) Rutgers University-Newark: the only matching tenure-track result was the Rut</t>
  </si>
  <si>
    <t xml:space="preserve">SUNY College of Environmental Science and Forestry</t>
  </si>
  <si>
    <t xml:space="preserve">SUNY Upstate Medical University</t>
  </si>
  <si>
    <t xml:space="preserve">Found 1 new research posting(s). 1 search(es). Ran one extended WebSearch: "Saint Joseph's University" Haub School of Business tenure-track assistant professor faculty position 2027. Results: (1) a current-cycle SJU Workday posting, "Assistant Professor, Management" (JR101164, sju.wd1.myworkdayjobs.com), also copied on workopia.io. It is a tenure-track OB/HR line starting August 2027 and is reported below with fit 0. (2) An INFORMS Connect post, "Tenure Track position at the Haub School of Business," which the search summary dated to 2022 for a Decision &amp; System Sciences assistant professor starting in 2023. That is a prior cycle and closed, so it is excluded. (3) "Assistant Professor, Tenure Track, Counseling Program" (workopia.io) was excluded because it is a counseling/education line, not business and not IS-adjacent. (4) Other hits were not postings: an Inquirer article (Oct 13, 2026) saying Haub dean Joseph DiAngelo will retire at the end of the 2026-27 year, which may mean a dean search, though that is not a research line; Haub faculty directory pages; Management and Marketing department faculty pages; and Wikipedia. The search found no current-cycle Decision &amp; System Sciences (IS/analytics/OM/SCM) tenure-track posting, and no IS or analytics lecturer or clinical line. SJU has no separate iSchool or data-science school in the results. The search showed no application deadline or posted date for the Management posting. Check open status at jobs.sju.edu / Workday JR101164. | JOB-BOARD SWEEP (shared with paired school): found 0 new. I ran one extended WebSearch. Query: ("Indiana University of Pennsylvania" OR "Saint Joseph's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jobs.sju.edu, iup.peopleadmin.com, careers.iup.edu.
The search returned 7 resul | IS-FOCUSED SWEEP (shared with 3 schools): found 0 new. I ran one extended WebSearch, limited to aisnet.org, higheredjobs.com, chronicle.com, insidehighered.com, academickeys.com, informs.org, linkedin.com and indeed.com. The query named all four schools together with IS, MIS, business analytics, data analytics, information technology and decision sciences terms, plus "assistant professor tenure-track 2027". It returned no current-cycle tenure-track or tenured research faculty posting at Portland State University (School of Business), Duquesne Univer</t>
  </si>
  <si>
    <t xml:space="preserve">Sam Houston State University</t>
  </si>
  <si>
    <t xml:space="preserve">Found 0 new research posting(s). 1 search(es). I ran one extended WebSearch: "Sam Houston State University tenure-track assistant professor business 2027 faculty position". It was limited to shsu.peopleadmin.com, shsu.edu, higheredjobs.com, chronicle.com, insidehighered.com, academickeys.com, indeed.com and linkedin.com. None of the results is a current-cycle research line in the business school or an IS-adjacent unit, so postings is empty.
Excluded:
(1) Assistant Professor of Management, College of Business Administration, Dept. of Management &amp; Marketing, Req. 202600050F (careers.insidehighered.com/job/3510665/assistant-professor-of-management/). This is tenure-track and requires a PhD in Management from an AACSB school. However, it opened 04/14/2026 and only considers ABD candidates "with a defense date before September 1, 2026", which makes it a prior-cycle (Fall 2026) posting. It is excluded as closed. It would score 0–1 anyway: the field is general management, and the candidate's PhD is in Management Science (MIS) with a defense in June 2027.
(2) Assistant Professor of Sport Management, College of Health Sciences / Kinesiology, Req. 202600075F (insidehighered 3550746; chronicle 38000555). It is tenure-track with a January 2027 start and review beginning September 2026. It is excluded because it is not in a business school and not an IS-adjacent field.
(3) Assistant Professor of Practice in Management, COBA (jobs.chronicle.com/job/37975981). It is non-tenure-track, so it is not a research line.
(4) Fall 2027 tenure-track postings in Chemistry (3 positions), History and School Psychology were also listed. These are outside business and IS.
The results also returned peopleadmin postings 48198 and 48459 with no title or snippet, so their content could not be verified. I report nothing from them. They may be worth a manual check at https://shsu.peopleadmin.com/postings/48198 and https://shsu.peopleadmin.com/postings/48459.
The AISSC department (Analytics, Information Systems &amp; Supply Chain) is the key unit. It showed no 2027-cycle tenure-track IS or analytics posting in this search. Its known 2026 Business Analytics Assistant Professor line (opened 03/11/2026) and Lecturer of IS (opened 03/02/2026) are prior-cycle, per round 1. No new non-research IS/analytics line was seen beyond the already-known Lecturer-Pool (Project Management) posting 48098. No visa-sponsorship or industry-experience wording appeared in any snippet. | JOB-BOARD SWEEP (shared with paired school): found 0 new. I ran one extended WebSearch: ("Sam Houston State University" OR "Tarleton State University")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shsu.peopleadmin.com and tamus.wd1.myworkdayjobs.com. Ten results came back and none is a | IS-FOCUSED SWEEP (shared with 3 schools): found 0 new. I ran one extended WebSearch, limited to aisnet.org, higheredjobs.com, chronicle.com, insidehighered.com, academickeys.com, informs.org, linkedin.com and indeed.com. The query was: ("Sam Houston State University" OR "Tarleton State University" OR "Texas A&amp;M University-Kingsville" OR "University of Texas Rio Grande Valley") ("information systems" OR "MIS" OR "business analytics" OR "data analytics" OR "information technology" OR "decision sciences") assistant professor tenure-track 2027. The sear</t>
  </si>
  <si>
    <t xml:space="preserve">San Francisco State University</t>
  </si>
  <si>
    <t xml:space="preserve">Found 0 new research posting(s). 1 search(es). Round 2 (2026-10-15): I ran one extended WebSearch with no domain restriction, so job boards could also appear: "San Francisco State University" Lam Family College of Business tenure-track assistant professor 2027 position information systems OR analytics OR accounting OR finance OR marketing OR management. The 10 results were all background pages, and none was a job posting. They were the college's news listing, the 2025 Lam-Larsen Distinguished Teaching Professorship page, the faculty and directory pages, an is.sfsu.edu archive item on promoted and tenured faculty, Wikipedia, the cob.sfsu.edu home page, an ICCE faculty spotlight, a development page, and Faculty Affairs' "Appointment Employment Types" policy page (https://facaffairs.sfsu.edu/appointment-employment-types). The college lists ten departments: Accounting, Decision Sciences, Economics, Finance, Hospitality &amp; Tourism Management, Information Systems, International Business, Labor &amp; Employment Studies, Management, and Marketing. It reports more than 160 tenured/tenure-track and lecturer faculty. The news page mentions two tenure-track faculty who joined in 2024 but nothing about 2027 hiring. No results came from HigherEdJobs, Chronicle, Inside Higher Ed, Interfolio, or careers.sfsu.edu. The search found no current-cycle (2027 start) research line in the business school in any field. It also found no IS-adjacent tenure-track line elsewhere at SF State, and no non-research IS/analytics lecturer-pool ad. This matches round 1 (Oct 13), which also came back empty when restricted to sfsu.edu, careers.sfsu.edu, academic.sfsu.edu, cob.sfsu.edu and apply.interfolio.com. Caveat: CSU campuses often post tenure-track ads from September to November on the campus PageUp/careers portal, which search engines may not index well. The candidate should check https://facaffairs.sfsu.edu/open-positions and https://careers.sfsu.edu directly, especially for the Information Systems department (fit 5) and the Decision Sciences department (fit 4). Result: no postings qualify. | JOB-BOARD SWEEP (shared with paired school): found 0 new. I ran one extended WebSearch: ("Pepperdine University" OR "San Francisco State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pepperdine.edu, sfsu.edu, careers.sfsu.edu and apply.interfolio.com.
The results showed no cu | IS-FOCUSED SWEEP (shared with 3 schools): found 0 new. Third-angle check (2026-10-15): I ran one extended WebSearch limited to aisnet.org, higheredjobs.com, chronicle.com, insidehighered.com, academickeys.com, informs.org, linkedin.com and indeed.com. The query covered all 4 schools together, with IS, MIS, business analytics, data analytics, IT and decision sciences terms, plus 'assistant professor tenure-track 2027'. The search engine ignored the boolean operators and searched plain keywords, so most results came from San Diego-area schools that ar</t>
  </si>
  <si>
    <t xml:space="preserve">Found 0 new research posting(s). 1 search(es). Round 2 (Oct 15, 2026), 1 extended WebSearch: "\"Seton Hall University\" Stillman School of Business tenure-track assistant professor faculty position Fall 2027". It found no current-cycle research (tenure-track/tenured) posting in the Stillman School of Business in any field, and none in an IS-adjacent non-business unit. What came back: (1) A Stillman adjunct instructor posting in economics, which is part-time and not a research line, so it was excluded. (2) Tenure-track Assistant Professor, Chemistry and Biochemistry (jobs.chronicle.com/job/38011342, posted Jul 7, 2026, apply via jobs.shu.edu). It is current-cycle but outside business and IS, so it was excluded. (3) Tenure Track Assistant Professor, Law and Politics, Political Science (HigherEdJobs JobCode=179219327), starting "fall semester of 2026". That is the prior cycle and a non-business field, so it was excluded. (4) An older LinkedIn "Assistant Professor-tenure track" listing (job 3387954107), which looks like an earlier cycle; no business or IS field was shown, so it was excluded. (5) A ZipRecruiter aggregator page and Stillman faculty directory and spotlight pages (shu.edu/business/faculty.html, shu.edu/finance/faculty.html). These are not postings. No IS/analytics lecturer, clinical or other non-research line turned up. The search summary pointed to the university's own applicant portal, jobs.shu.edu, as the place where any Fall 2027 Stillman posting (e.g., Computing &amp; Decision Sciences) would appear first. It may not be indexed yet, so a manual check of jobs.shu.edu and HERC is advisable. No sponsorship or industry-experience wording was seen. | JOB-BOARD SWEEP (shared with paired school): found 1 new. I ran one extended WebSearch. The query was ("Seton Hall University" OR "Stevens Institute of Technology") assistant professor tenure-track ("information systems" OR analytics OR "data science" OR "supply chain" OR operations OR "management science" OR "business analytics") 2027. I limited it to these domains: higheredjobs.com, chronicle.com, insidehighered.com, academickeys.com, linkedin.com, indeed.com, aisnet.org, informs.org, shu.edu and stevens.edu. The search tool said it simplified the bo | IS-FOCUSED SWEEP (shared with 3 schools): found 0 new. I ran one extended WebSearch limited to aisnet.org, higheredjobs.com, chronicle.com, insidehighered.com, academickeys.com, informs.org, linkedin.com and indeed.com. The query combined all 4 schools with IS, MIS, analytics and decision-sciences terms plus 'assistant professor tenure-track 2027'. The search found no business-school IS, MIS, business analytics or decision-sciences posting for the current cycle at any of the 4 schools. The only current-cycle line I could tie to one of these schools </t>
  </si>
  <si>
    <t xml:space="preserve">Found 0 new research posting(s). 1 search(es). I ran one extended WebSearch: "South Carolina State University" College of Business and Information Systems assistant professor tenure-track faculty position 2027. It found no current-cycle (start 2027) research faculty posting at SC State in the College of Business and Information Systems or any other unit. Nothing came from careers.scsu.edu or the college's own pages. The only SC State result was the 2018 Faculty Handbook (www2.scsu.edu/files/Faculty Handbook 9th Edition for Website.pdf). It covers tenure-track eligibility and timelines but is not a job posting. The other results were all different institutions, so I excluded them here: USC Upstate's Johnson College of Business and Economics (assistant/associate business analytics, start Aug 16, 2027, via uscjobs.sc.edu/postings/214247), Santa Clara University (IS tenure-track assistant professor, Fall 2027), SDSU/CSU (MIS assistant professor pool 2027-28), and general AIS and Indeed listing pages. USC Upstate is a separate institution and should be checked under its own entry if it is in scope. I saw no non-research IS or analytics lines (lecturer, clinical, adjunct) at SC State either. Round 1 (Oct 13) also found nothing. The college's IS-related department is Business Administration &amp; Information Systems. SC State posts few faculty openings and they rarely show up in search results, so the candidate should check https://careers.scsu.edu/en/listing/ directly and search HigherEdJobs for "South Carolina State" from time to time. Result: postings is empty. | JOB-BOARD SWEEP (shared with paired school): found 1 new. I ran one extended WebSearch: ("South Carolina State University" OR "South Dakota State University") assistant professor tenure-track ("information systems" OR analytics OR "data science" OR "supply chain" OR operations OR "management science" OR "business analytics") 2027. I limited it to these domains: higheredjobs.com, chronicle.com, insidehighered.com, academickeys.com, linkedin.com, indeed.com, aisnet.org, informs.org, careers.scsu.edu and yourfuture.sdbor.edu.
It returned 7 links. Two wer | IS-FOCUSED SWEEP (shared with 3 schools): found 0 new. I ran one extended WebSearch, limited to aisnet.org, higheredjobs.com, chronicle.com, insidehighered.com, academickeys.com, informs.org, linkedin.com and indeed.com. The query covered all four schools together with IS, MIS, business analytics, data analytics, IT and decision sciences terms, plus "assistant professor tenure-track 2027". None of the four schools showed a confirmed tenure-track or tenured IS or analytics opening for the current cycle.
Thomas Jefferson University: one weak lead. Th</t>
  </si>
  <si>
    <t xml:space="preserve">South Dakota State University</t>
  </si>
  <si>
    <t xml:space="preserve">Found 0 new research posting(s). 1 search(es). Query (extended mode): "South Dakota State University" Ness School of Management and Economics assistant professor tenure-track faculty position 2027. Results included SD Board of Regents PeopleAdmin pages (yourfuture.sdbor.edu/postings/45169, /postings/48508, SDSU-Brookings search listings), an Indeed South Dakota professor listing, an APLU job page, and policy pages. No current-cycle (2027-start) research faculty posting in the Ness School turned up in any business field. Exclusions: (1) Ness School tenure-track Assistant Professor in Applied Economics and Land Valuation with a State Extension Specialist role (Posting F01712P). It is a 9-month tenure-track job on the Brookings campus, posted 10/06/2025, and one snippet says it was posted about 405 days ago. That makes it prior cycle (2026 start), so it was excluded as closed. The field is economics/land valuation, which would score 0 anyway. (2) Ness School Instructor of Management, seen through APLU (aplu.org): a non-research instructor line, so it was excluded. It is general management, not IS or analytics. (3) Other SDSU openings with an August 2027 start are in Psychology and Counseling. They are outside business and not IS-adjacent, so they were excluded. No iSchool or data-science research line at SDSU appeared. No IS or analytics lecturer or clinical line was seen beyond the Instructor of Management. This agrees with round 1: the Ness School has no standalone IS department. The best place to keep checking is yourfuture.sdbor.edu filtered to SDSU-Brookings and Ness School for any OM/analytics or open-area management posting released later in the cycle. | JOB-BOARD SWEEP (shared with paired school): found 0 new. I ran one extended WebSearch: ("South Carolina State University" OR "South Dakota State University") assistant professor tenure-track ("information systems" OR analytics OR "data science" OR "supply chain" OR operations OR "management science" OR "business analytics") 2027. I limited it to these domains: higheredjobs.com, chronicle.com, insidehighered.com, academickeys.com, linkedin.com, indeed.com, aisnet.org, informs.org, careers.scsu.edu and yourfuture.sdbor.edu.
It returned 7 links. Two wer | IS-FOCUSED SWEEP (shared with 3 schools): found 0 new. I ran one extended WebSearch, limited to aisnet.org, higheredjobs.com, chronicle.com, insidehighered.com, academickeys.com, informs.org, linkedin.com and indeed.com. The query covered all four schools together with IS, MIS, business analytics, data analytics, IT and decision sciences terms, plus "assistant professor tenure-track 2027". None of the four schools showed a confirmed tenure-track or tenured IS or analytics opening for the current cycle.
Thomas Jefferson University: one weak lead. Th</t>
  </si>
  <si>
    <t xml:space="preserve">Southern Connecticut State University</t>
  </si>
  <si>
    <t xml:space="preserve">CT</t>
  </si>
  <si>
    <t xml:space="preserve">Found 0 new research posting(s). 1 search(es). Ran one extended WebSearch: "Southern Connecticut State University" School of Business tenure-track assistant professor Fall 2027. It found no current-cycle (2027 start) research faculty posting in the School of Business or in an IS-adjacent unit.
What came back:
(1) SCSU HR page for Tenure Track Assistant Professor - Finance (inside.southernct.edu/human-resources/jobs/24-002). This is search 24-002 with a Fall 2024 start: an old cycle, so excluded.
(2) Assistant Professor - Finance and Real Estate (inside.southernct.edu/human-resources/jobs/assistant-professor-finance-real-estate). This is search 26-007 with a Fall 2026 start: the previous cycle, so excluded. It would also score 0 for fit.
(3) Assistant/Associate Professor - Management &amp; International Business (inside.southernct.edu/human-resources/jobs/assistant-associate-professor-management-international-business). This is search 26-008 with an August 2026 start: the previous cycle, so excluded. It would score 0-1 for fit. This is probably the Management line the round-1 note saw on the Chronicle employer page.
(4) The Chronicle employer page for SCSU. The search summary says it has listings tied to the Accounting and Business Information Systems departments, but the snippets showed no title, start date, deadline or search number. No concrete current-cycle BIS or Accounting posting could be confirmed, so nothing was reported. A BIS tenure-track line would score 5 if it appears. The candidate should check https://inside.southernct.edu/human-resources/jobs and the Chronicle employer page directly for any new 27-xxx BIS search.
(5) The remaining results were outside business or IS and excluded: Psychology, Curriculum &amp; Learning (Teacher Education, also on HigherEdJobs JobCode 179292512), and Educational Leadership and Policy Studies. An Eastern Connecticut State University jobs page with an August 2027 start also came back, but that is a different institution.
Non-research IS line noted: the School of Business part-time instructor pool, which covers Business Information Systems among other areas. It was already known and is not repeated here.
No sponsorship or industry-experience wording was visible in the snippets. | JOB-BOARD SWEEP (shared with paired school): found 0 new. I read both item files first. The only known posting was the SCSU School of Business part-time instructor pool (adjunct). Delaware State had no known postings. I ran one extended WebSearch covering both schools with this query: ("Southern Connecticut State University" OR "Delaware State University") assistant professor tenure-track ("information systems" OR analytics OR "data science" OR "supply chain" OR operations OR "management science" OR "business analytics" OR accounting OR management OR m | IS-FOCUSED SWEEP (shared with 3 schools): found 0 new. I read all 4 item files first. Known postings, which were not re-reported: the UCCS Lecturer pool in Quantitative Methods &amp; Business Analytics, and the SCSU School of Business part-time instructor pool. UNC and DSU had none listed. I then ran exactly one extended WebSearch, limited to aisnet.org, higheredjobs.com, chronicle.com, insidehighered.com, academickeys.com, informs.org, linkedin.com and indeed.com. The query covered all 4 schools with IS, MIS, business analytics, data analytics, IT and </t>
  </si>
  <si>
    <t xml:space="preserve">Southern University and A&amp;M College</t>
  </si>
  <si>
    <t xml:space="preserve">Found 0 new research posting(s). 1 search(es). I ran one extended WebSearch: "Southern University and A&amp;M College" Baton Rouge College of Business assistant professor tenure-track faculty position 2026-2027. It was limited to subr.edu, sus.edu, higheredjobs.com, chronicle.com, insidehighered.com, academickeys.com, indeed.com and linkedin.com. Round 1 had searched only subr.edu and sus.edu, so this time the job boards were added. It found no College of Business research faculty posting in any business field.
What came back:
- The SUS vacancy listing page (https://www.sus.edu/news/category/position-vacancy-announcements).
- Older generic sus.edu items: "Assistant Professor" (/news/4743), "Assistant Professor of Mathematics" (/news/5382) and "Assistant Professor/Math &amp; Science" (/news/5113). These have low news IDs, are in non-business fields and are from prior cycles.
- The Inside Higher Ed employer page for the Southern University System.
- Indeed pages for Baton Rouge professor jobs and for SUBR's company page.
Non-business tenure-track lines mentioned in the result summary, all excluded:
(a) Computer Science, tenure-track assistant/associate. It was "posted 04/18/2026" with salary "$70,000 to $90,000". This is a general CS line, not an IS, HCI, social-computing or data-science unit. It was also posted in April 2026, so it most likely starts Fall 2026 (prior cycle). The results did not tie it clearly to a specific URL.
(b) Assistant Professor of Technical Writing, tenure-track, on Inside Higher Ed (https://careers.insidehighered.com/job/3554276/), salary "$54,000 - $56,000". The deadlines conflict (Oct 23, 2026 vs. Mar 5, 2027). This is an English or writing line, outside the candidate's field and outside the scope of this search.
(c) Environmental Toxicology, tenure-track assistant/associate, "$65,000". This is a science line, outside scope.
No IS, MIS, analytics, OM/SCM, accounting, finance, marketing or management tenure-track posting at the SUBR College of Business appeared on the university portals or the job boards. This matches round 1. The only known business-related item is still the university-wide part-time adjunct pool (sus.edu/news/7270), which was already known and is not a research line. I saw no IS or analytics lecturer, clinical or instructor line either. Recommendation: check https://www.sus.edu/news/category/position-vacancy-announcements again periodically, because SUBR often posts business faculty vacancies late in the cycle (winter and spring). | JOB-BOARD SWEEP (shared with paired school): found 0 new. I ran one extended WebSearch with this query: ("Southern University and A&amp;M College" OR "University of New Orleans" OR "LSU New Orleans")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subr.edu, sus.edu and uno.edu. It returned 10 li | IS-FOCUSED SWEEP (shared with 3 schools): found 0 new. I read all four known-postings files first. The only known item was the Southern University system's part-time adjunct pool (https://www.sus.edu/news/7270). The other three schools had no known postings. I then ran one extended WebSearch across aisnet.org, higheredjobs.com, chronicle.com, insidehighered.com, academickeys.com, informs.org, linkedin.com and indeed.com. It combined the four school names with IS, MIS, business analytics, data analytics, IT and decision sciences terms, plus "assistan</t>
  </si>
  <si>
    <t xml:space="preserve">Stevens Institute of Technology</t>
  </si>
  <si>
    <t xml:space="preserve">Found 0 new research posting(s). 1 search(es). I ran one extended WebSearch with no domain limit, because round 1 was limited to stevens.edu, Interfolio and Workday and turned up nothing. The query was: "Stevens Institute of Technology" School of Business tenure-track assistant professor faculty position 2027. It found no current-cycle research faculty posting (start 2027, posted June 2026 or later) in the Stevens School of Business or in an IS-adjacent unit. What came back, and why each item was excluded:
(1) An AOM CTO discussion post, 'Open Rank Assistant/Associate/Full Professor of Information Systems &amp; Analytics at Stevens Institute of Technology' (cto.aom.org). According to the search summary, this was a 2024 posting for two open-rank IS &amp; Analytics hires, possibly tenure-track, starting September 2025. That is a prior cycle, so I excluded it. It would have scored 5, which shows Stevens does hire in IS &amp; Analytics, so it is worth checking again later.
(2) An AcademicKeys listing, 'Tenure-Track Assistant/Associate Professor in Innovation and/or Entrepreneurship, School of Business' (business.academickeys.com/job/wkh0pt2e). It was aimed at a September 2025 start, a prior cycle, so I excluded it.
(3) Older postings: an INFORMS 'TT Faculty Position in Financial Technology' (2021), an AOM OMT 'Assistant/Associate Professor (Strategic Management)' (2019) and an SSRN FENJob17100 finance listing (2018). All are prior cycles and excluded.
(4) An AcademicJobsOnline listing, 'Stevens Institute of Technology, Computer Science' (academicjobsonline.org/ajo/Stevens/CS/TT2026). The search summary calls it a 2026 posting by the new School of Computing for faculty at all ranks, some possibly joint with the School of Business. The 'TT2026' label points to the 2025-26 hiring cycle (start 2026), and nothing in the results shows a 2027 start, an open deadline or a current-cycle posting date. I excluded it as probably prior-cycle and unconfirmed. If it turned out to be current, it would score about 3 (computing unit; applied AI/data science overlaps with the candidate's ML/LLM and multimodal-data work). The candidate should check the AJO page directly to see whether it is still open.
(5) Faculty profile pages (Jingrui Li), a Wikipedia page (Douglas Cumming) and the general HR careers page. None of these are postings.
I saw no non-research IS/analytics lines (lecturer, teaching or clinical). The results showed no sponsorship or industry-experience wording. Recommendation: Stevens posts most faculty openings on its Workday board (stevens.wd5.myworkdayjobs.com) and through AOM/INFORMS/AIS lists, which search engines did not index for the 2026-27 cycle. The candidate should check those sources and the AIS/ISWorld job board directly for a fall-2026 IS &amp; Analytics posting. | JOB-BOARD SWEEP (shared with paired school): found 0 new. I ran one extended WebSearch. The query was ("Seton Hall University" OR "Stevens Institute of Technology") assistant professor tenure-track ("information systems" OR analytics OR "data science" OR "supply chain" OR operations OR "management science" OR "business analytics") 2027. I limited it to these domains: higheredjobs.com, chronicle.com, insidehighered.com, academickeys.com, linkedin.com, indeed.com, aisnet.org, informs.org, shu.edu and stevens.edu. The search tool said it simplified the bo | IS-FOCUSED SWEEP (shared with 3 schools): found 0 new. I ran one extended WebSearch limited to aisnet.org, higheredjobs.com, chronicle.com, insidehighered.com, academickeys.com, informs.org, linkedin.com and indeed.com. The query combined all 4 schools with IS, MIS, analytics and decision-sciences terms plus 'assistant professor tenure-track 2027'. The search found no business-school IS, MIS, business analytics or decision-sciences posting for the current cycle at any of the 4 schools. The only current-cycle line I could tie to one of these schools </t>
  </si>
  <si>
    <t xml:space="preserve">Found 2 new research posting(s). 1 search(es). I ran one extended WebSearch with no domain filter: "Tarleton State University" "Assistant Professor" College of Business information systems OR analytics OR accounting OR finance OR management OR marketing 2027 tenure-track. It returned 9 results. Two were College of Business research lines in the Department of Accounting, Finance, and Economics. (1) Assistant Professor Tenure-Track of Accounting, Chronicle job 38033422; the search summary gives a posting date of Sep 3, 2026, which puts it in the current cycle. (2) Assistant Professor Tenure-Track of Real Estate on the TAMUS Workday portal, R-093884-1; the summary calls it about 128 days old (roughly June 2026) and says it may be closed, so I rated it low confidence. Both are reported below with fit 0. Excluded results: Physics (Physics Today), Counseling in Fort Worth (Chronicle 37954780), and Occupational Therapy (Workday R-071827) are tenure-track lines outside business and IS; ZipRecruiter aggregate pages and a univstats page are not postings; a tarleton.edu news item about tenure and promotions is not a posting. The results showed no information systems, data analytics, business analytics, supply chain, management or marketing tenure-track line in the Dr. Sam Pack College of Business, and no IS-adjacent research line elsewhere at Tarleton. The only IS-area or analytics-area line known at Tarleton is still the non-research Instructor - Supply Chain Management (R-097561), which was already in the file. The results showed no deadlines and no wording about sponsorship or industry experience. Tarleton posts faculty jobs on the TAMUS Workday portals (System-wide_External and TARLETON_External), which the search index covers only partly. The candidate should check those portals directly for any Fall 2027 IS or analytics line posted later. | JOB-BOARD SWEEP (shared with paired school): found 0 new. I ran one extended WebSearch: ("Sam Houston State University" OR "Tarleton State University")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shsu.peopleadmin.com and tamus.wd1.myworkdayjobs.com. Ten results came back and none is a | IS-FOCUSED SWEEP (shared with 3 schools): found 0 new. I ran one extended WebSearch, limited to aisnet.org, higheredjobs.com, chronicle.com, insidehighered.com, academickeys.com, informs.org, linkedin.com and indeed.com. The query was: ("Sam Houston State University" OR "Tarleton State University" OR "Texas A&amp;M University-Kingsville" OR "University of Texas Rio Grande Valley") ("information systems" OR "MIS" OR "business analytics" OR "data analytics" OR "information technology" OR "decision sciences") assistant professor tenure-track 2027. The sear</t>
  </si>
  <si>
    <t xml:space="preserve">Teachers College, Columbia University</t>
  </si>
  <si>
    <t xml:space="preserve">Tennessee State University</t>
  </si>
  <si>
    <t xml:space="preserve">Found 0 new research posting(s). 1 search(es). I ran one extended WebSearch with no domain limit: "Tennessee State University" College of Business tenure-track assistant professor faculty position 2026 OR 2027. Round 1 had searched only the TSU domains, so this search was meant to reach job boards as well. It returned Indeed aggregator pages, a Chronicle "Business &amp; Management jobs in Tennessee" listing page, the TSU College of Business catalog faculty page, TSU PeopleAdmin pages (position_descriptions/7121 and position_descriptions/search?page=3), an Indeed salary page, and an East Tennessee State University SCM posting from a 2025 Logprofs list. ETSU is a different university, so I did not count it here. I am reporting no postings, for these reasons. (1) Accounting line, https://jobs.tnstate.edu/position_descriptions/7121: this is a full-time tenure-track faculty position (Assistant, Associate or Full Professor) in the Department of Accounting, beginning "in either January or August", position number 006020. It requires a PhD or DBA in accounting, and "CPA, CMA, CIA, and CGMA, or similar certifications with professional experience in the practice of accounting are strongly preferred." It is a research line, since the candidate must publish in the College of Business preferred journal lists. However, the results showed no posting date, start year or deadline. It sits under the older "position_descriptions" path, and round 1 had already seen the same page (7121). Nothing shows it belongs to the current cycle (a 2027 start, posted June 2026 or later), so I excluded it under the open rule. Even if it is open, it would score 0: it is accounting with no IS content, and the candidate has no CPA or accounting PhD. (2) An Indeed aggregator listed a generic "Assistant Professor - Tenure-track Position" in Nashville at TSU. The results did not name its department or give any date, so I could not tell whether it is a business or IS-adjacent line, and I did not report it. (3) The other TSU tenure-track openings in the results are in psychology, computer science and a scholarly communications librarian role. None is in the business college. The computer science line had no detail on area, unit or dates, and TSU's CS department is not an iSchool or informatics college, so I could not confirm an HCI, data-science or applied-AI focus or that it is current. The candidate could check it directly at jobs.tnstate.edu, since it could be a weak IS-adjacent fit (score 3 at most) if it turns out to be current and data-science focused. As in round 1, I found no College of Business opening in IS, MIS, analytics, OM or SCM. I also saw no non-research IS or analytics lines (lecturer or clinical). Recommendation: the candidate should check https://jobs.tnstate.edu/postings/search directly for current-cycle College of Business postings, because the search engine mostly surfaced older position-description pages. Sources: https://jobs.tnstate.edu/position_descriptions/7121 ; https://jobs.tnstate.edu/position_descriptions/search?page=3 ; https://www.indeed.com/q-Tenure-Track-Faculty-l-Tennessee-jobs.html ; https://www.indeed.com/q-Assistant-Professor-l-Tennessee-jobs.html ; https://jobs.chronicle.com/jobs/business-and-management/tennessee/ ; https://catalog.tnstate.edu/content.php?catoid=17&amp;navoid=982 ; https://mailman.mit.edu/pipermail/logprofs/2025/001355.html | JOB-BOARD SWEEP (shared with paired school): found 0 new. I read both item files first. Neither lists any known postings. Round 1 found no IS, analytics, OM or SCM line at TSU, and only a Lecturer I (Accounting) at PVAMU, which is non-research. I then ran ONE WebSearch in extended mode with this query: ("Tennessee State University" OR "Prairie View A&amp;M University") assistant professor tenure-track ("information systems" OR analytics OR "data science" OR "supply chain" OR operations OR "management science" OR "business analytics") 2027. I limited allowe | IS-FOCUSED SWEEP (shared with 3 schools): found 0 new. I read all 4 item files; none lists a known posting. I ran one extended WebSearch, limited to aisnet.org, higheredjobs.com, chronicle.com, insidehighered.com, academickeys.com, informs.org, linkedin.com and indeed.com. The query was a Boolean string naming all 4 schools plus IS/MIS/business analytics/data analytics/IT/decision sciences, assistant professor, tenure-track and 2027. The search engine noted it had to simplify the Boolean string. No new current-cycle research faculty line in IS, anal</t>
  </si>
  <si>
    <t xml:space="preserve">Texas A&amp;M University-Kingsville</t>
  </si>
  <si>
    <t xml:space="preserve">Found 0 new research posting(s). 1 search(es). Ran one extended WebSearch with no domain filter, because round 1 had already covered tamuk.edu and the TAMUS Workday board: "Texas A&amp;M University-Kingsville" College of Business Administration tenure-track assistant professor faculty position Fall 2027. None of the results is a confirmed current-cycle (2027 start) research faculty posting at TAMUK's College of Business Administration. Here is what came back.
(1) An undated "Assistant Professor of Accounting" listing at Texas A&amp;M University-Kingsville, described as a "full-time, tenure-track faculty position within the College of Business". It surfaced through an Indeed Kingsville listing page (https://www.indeed.com/q-a&amp;m-kingsville-l-kingsville,-tx-jobs.html or https://www.indeed.com/q-assistant-professor-l-kingsville,-tx-jobs.html). The results gave no start date, posting date, deadline or direct requisition URL, so I can't confirm it belongs to the current cycle, and I left it out under the open rule. It would score 0 anyway: accounting without IS is outside the candidate's field, and it may need a CPA, which the candidate does not have. It is worth checking by hand on https://tamus.wd1.myworkdayjobs.com/TAMUK_External.
(2) Two Fall 2027 tenure-track COBA postings at Texas A&amp;M University-Central Texas in Killeen: Assistant Professor of Management/Leadership (careers.insidehighered.com/job/3559895) and Assistant/Associate Professor of Management/Strategy (careers.insidehighered.com/job/3561559). These belong to a DIFFERENT institution and are not attributable to Kingsville, so I excluded them here. They should be covered under A&amp;M-Central Texas, an R2 or near-R2 school, if it is in the list.
(3) Fall 2027 finance tenure-track lines at Mays Business School at Texas A&amp;M College Station (faculty.tamu.edu) are at a different institution (R1) and were excluded.
I saw no IS/MIS, analytics, OM/SCM, marketing or management research line for TAMUK. I also saw no non-research IS/analytics lecturer or clinical line, and no IS-adjacent computing or data-science tenure-track line. Neither round showed any sponsorship or industry-experience wording. | JOB-BOARD SWEEP (shared with paired school): found 0 new. I ran one extended WebSearch: ("Texas A&amp;M University-Kingsville" OR "University of Texas Rio Grande Valley") assistant professor tenure-track ("information systems" OR analytics OR "data science" OR "supply chain" OR operations OR "management science" OR "business analytics") 2027. I limited it to higheredjobs.com, chronicle.com, insidehighered.com, academickeys.com, linkedin.com, indeed.com, aisnet.org, informs.org, careers.utrgv.edu and tamus.wd1.myworkdayjobs.com.
It returned 10 links: Indee | IS-FOCUSED SWEEP (shared with 3 schools): found 0 new. I ran one extended WebSearch, limited to aisnet.org, higheredjobs.com, chronicle.com, insidehighered.com, academickeys.com, informs.org, linkedin.com and indeed.com. The query was: ("Sam Houston State University" OR "Tarleton State University" OR "Texas A&amp;M University-Kingsville" OR "University of Texas Rio Grande Valley") ("information systems" OR "MIS" OR "business analytics" OR "data analytics" OR "information technology" OR "decision sciences") assistant professor tenure-track 2027. The sear</t>
  </si>
  <si>
    <t xml:space="preserve">Texas Tech University Health Sciences Center</t>
  </si>
  <si>
    <t xml:space="preserve">The Rockefeller University</t>
  </si>
  <si>
    <t xml:space="preserve">Thomas Jefferson University</t>
  </si>
  <si>
    <t xml:space="preserve">Found 0 new research posting(s). 1 search(es). Ran one extended WebSearch (open web): "Thomas Jefferson University" assistant professor tenure-track business (Kanbar OR "School of Business") faculty position 2027. None of the results showed a current-cycle (2027 start, posted June 2026 or later) tenure-track or tenured research line in the School of Business / Kanbar College, or in any IS-adjacent computing, informatics or data-science unit. The results and why each was excluded: (1) Indeed aggregate page (https://www.indeed.com/q-jefferson-university-professor-jobs.html) lists an "Assistant Professor of Economics, School of Business, Thomas Jefferson University, East Falls Campus". The results show no posting date, deadline or start term, so it could not be confirmed as current-cycle and may be stale. It was excluded under the open rule. If it were open, it would score 0 for fit (economics, outside the candidate's field); the candidate could check the Jefferson HR portal for it. (2) HigherEdJobs "Visiting Instructor - Accounting, School of Business, Kanbar College" (https://www.higheredjobs.com/faculty/details.cfm?JobCode=179031019) was deleted on 3/19/2025: prior cycle, non-research visiting line, closed. (3) HigherEdJobs "Assistant Professor, Community and Trauma Counseling Program, East Falls Campus" (https://www.higheredjobs.com/details.cfm?JobCode=179203768) is a counseling (non-business, non-IS) practice-or-tenure-track line with no current-cycle evidence, so it is not relevant. (4) ZipRecruiter, SimplyHired, Glassdoor and AcademicJobs results are hospital, clinical or medical openings, salary pages and generic aggregators, with no business or IS research lines. (5) Jefferson.edu program and faculty pages (BS in Management, MS Organizational Leadership faculty) are not job postings. No non-research IS/analytics lecturer or clinical line was seen in this round. Together with round 1 (Oct 13, 2 searches, also nothing), no qualifying open research posting has turned up at Thomas Jefferson University. The candidate could check hr.jefferson.edu faculty careers and HigherEdJobs directly for anything not yet indexed. | JOB-BOARD SWEEP (shared with paired school): found 0 new. I ran one extended WebSearch covering both schools: ("Thomas Jefferson University" OR "University of Puerto Rico-Rio Piedras" OR "University of Puerto Rico Rio Piedras")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jefferson.edu | IS-FOCUSED SWEEP (shared with 3 schools): found 1 new. I ran one extended WebSearch, limited to aisnet.org, higheredjobs.com, chronicle.com, insidehighered.com, academickeys.com, informs.org, linkedin.com and indeed.com. The query covered all four schools together with IS, MIS, business analytics, data analytics, IT and decision sciences terms, plus "assistant professor tenure-track 2027". None of the four schools showed a confirmed tenure-track or tenured IS or analytics opening for the current cycle.
Thomas Jefferson University: one weak lead. Th</t>
  </si>
  <si>
    <t xml:space="preserve">UMass Chan Medical School</t>
  </si>
  <si>
    <t xml:space="preserve">Found 1 new research posting(s). 1 search(es). One extended WebSearch: "University of Akron College of Business tenure-track Assistant Professor faculty position Fall 2027", limited to uakron.wd1.myworkdayjobs.com, myworkdayjobs.com, uakron.edu, higheredjobs.com, chronicle.com, insidehighered.com, academickeys.com, linkedin.com and indeed.com. It returned 10 results. The one current-cycle research line was a tenure-track Accounting/Taxation opening in the George W. Daverio School of Accountancy (Workday JR103021-1, also copied on Indeed). The results show an August 2027 start and say review begins September 11, 2026. Its fit score is 0. No information systems, business analytics, operations or supply chain research posting turned up, so there is still nothing in the candidate's field. Excluded: (1) An Indeed listing for a tenure-track Assistant Professor in labor economics, Department of Economics, College of Business. The snippet gave no start date, posting date or deadline, so the 2027 cycle can't be confirmed. It would score 0 anyway and should be checked by hand on the UA Workday portal. (2) A LinkedIn posting for an Assistant Professor, tenure track, in Electrical and Computer Engineering. That job ID is from an older cycle, and the field is not IS-adjacent. (3) UA news pages on faculty hires, university rules PDFs and College of Business directory and faculty pages, none of which are job postings. Non-research lines: only the known part-time College of Business faculty pool (JR100003), already in the file. No IS/analytics lecturer or clinical posting appeared. | JOB-BOARD SWEEP (shared with paired school): found 0 new. I ran one extended WebSearch: ("University of Akron" OR "Wright State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jobs.wright.edu and uakron.wd1.myworkdayjobs.com. It returned 10 results. None is a current-cycle resea | IS-FOCUSED SWEEP (shared with 3 schools): found 0 new. I ran one extended WebSearch, limited to aisnet.org, higheredjobs.com, chronicle.com, insidehighered.com, academickeys.com, informs.org, linkedin.com and indeed.com. It combined all four schools with IS, MIS, business analytics, data analytics, IT and decision sciences terms plus "assistant professor tenure-track 2027". None of the results showed a current-cycle tenure-track or tenured IS, analytics, OM/SCM or management-science posting at AFIT, Cleveland State (Monte Ahuja College of Business),</t>
  </si>
  <si>
    <t xml:space="preserve">University of Alabama in Huntsville</t>
  </si>
  <si>
    <t xml:space="preserve">AL</t>
  </si>
  <si>
    <t xml:space="preserve">Found 0 new research posting(s). 1 search(es). Query (extended, no domain restriction): "University of Alabama in Huntsville" College of Business tenure-track assistant professor 2027 information systems OR analytics OR accounting OR finance OR marketing OR management. The results agree with round 1. UAH's official faculty vacancy page (https://www.uah.edu/hr/careers/faculty-careers) still says the College of Business has no vacant positions, and the search summary says the page was updated about 16 days before the search, around late September 2026. The page's only visible posting in that summary is a special education role with an anticipated Fall 2027 start, which is not a business or IS line. Other UAH results were outside the candidate's area: an Assistant Professor of Exercise Science (tenure track) on the NAKHE job board with an Oct 30, 2026 deadline, an expired electrical and computer engineering job, and a generic "Full-Time Tenure-Track Assistant Professor" mirror on talents.vaia.com with no field shown. I did not report that last one, because nothing in the results ties it to business, IS, computing or informatics. Several results belong to a different university, the University of Alabama in Tuscaloosa (Culverhouse College of Business), not UAH: CCB Assistant Professor of Accounting tenure/tenure track (careers.ua.edu, req 530499) and two tenure-track Strategy and Entrepreneurship assistant professor jobs (AOM OMT listing). I excluded these as not UAH. No IS-adjacent computing or informatics tenure-track line for HCI, social computing, applied AI or data science at UAH showed up. No non-research IS or analytics lines (lecturer or clinical) in UAH's College of Business showed up either. Conclusion: no current-cycle research faculty line in the business school or in an IS-adjacent unit at UAH was found. It is worth rechecking the UAH faculty careers page and uah.peopleadmin.com later in the cycle, in case the College of Business posts a 2027 search late. | JOB-BOARD SWEEP (shared with paired school): found 0 new. I ran one extended WebSearch on 2026-10-15. Query: ("University of Alabama in Huntsville" OR "University of South Alabama") assistant professor tenure-track ("information systems" OR analytics OR "data science" OR "supply chain" OR operations OR "management science" OR "business analytics") 2027. The search tool said it simplified the boolean query. Allowed domains: higheredjobs.com, chronicle.com, insidehighered.com, academickeys.com, linkedin.com, indeed.com, aisnet.org, informs.org, uah.edu,  | IS-FOCUSED SWEEP (shared with 3 schools): found 0 new. I ran one extended WebSearch on Oct 15, 2026, limited to aisnet.org, higheredjobs.com, chronicle.com, insidehighered.com, academickeys.com, informs.org, linkedin.com and indeed.com. The query covered all 4 schools, combined with IS, MIS, business analytics, data analytics, IT and decision-sciences terms plus "assistant professor tenure-track 2027". It found no confirmable current-cycle tenure-track or tenured IS, analytics, OM/SCM or decision-sciences line at any of the 4 schools, so postings is</t>
  </si>
  <si>
    <t xml:space="preserve">Found 1 new research posting(s). 1 search(es). One extended WebSearch: query "University of Alaska Fairbanks" School of Management assistant professor tenure-track faculty position 2027, limited to careers.alaska.edu, alaska.edu, uaf.edu, higheredjobs.com, chronicle.com, insidehighered.com, academickeys.com, indeed.com and linkedin.com. What came back: (1) The Indeed "Assistant Professors jobs in Fairbanks, AK" page has a snippet: "The University of Alaska Fairbanks invites applications for a tenure-track position at the Assistant Professor rank in Business Administration, to begin in Fall…". The snippet cuts off before the year. It is reported below as p0 with LOW confidence, because the start year, deadline and field emphasis could not be seen. Round 1 found only a 2019 School of Management posting, so this could be a stale copy, though Indeed normally lists only active jobs. The candidate should confirm it on careers.alaska.edu (UAF faculty jobs) before applying. (2) Two University of Alaska ANCHORAGE postings were excluded because UAA is a separate institution, not UAF. They are worth passing to the orchestrator if UAA is on the R2 list: (a) Assistant Professor of Business Analytics, tenure-track, 9-month appointment starting August 2027, Ph.D. in Business Analytics or Data Science required (https://jobs.chronicle.com/job/38041678/assistant-professor-of-business-analytics/?TrackID=10). This would be about fit 4 for the candidate. (b) Two tenure-track Assistant Professor of Accounting lines in the Department of Accounting &amp; Finance, start Spring or Fall 2027 (https://careers.alaska.edu/jobs/assistant-professor-of-accounting-anchorage-alaska-united-states-adeac105-4b5c-46c0-8b95-eb29bedcecc7). This would be fit 0. (3) Excluded as not postings: the UAF Faculty Senate Blue Book (2020 policy document), the UAA catalog directory, the UAF Community &amp; Technical College employment page, Indeed employee reviews, and generic listing pages (Chronicle Alaska faculty jobs, Indeed tenure-track Alaska, careers.alaska.edu faculty jobs). No IS, analytics or computing/informatics research line at UAF showed up, and no non-research (lecturer, term, adjunct) IS or analytics line at UAF was seen either. Side note: UAF was reclassified R1 in the 2025 Carnegie update; it is kept here as given. | JOB-BOARD SWEEP (shared with paired school): found 0 new. I read both item files first. Neither lists any known postings, and round 1 found no current-cycle business faculty line at either school. I then ran one WebSearch in extended mode with this query: ("University of Alaska Fairbanks" OR "Azusa Pacific University") assistant professor tenure-track ("information systems" OR analytics OR "data science" OR "supply chain" OR operations OR "management science" OR "business analytics") 2027. The search was limited to higheredjobs.com, chronicle.com, insi | IS-FOCUSED SWEEP (shared with 3 schools): found 0 new. I ran one extended WebSearch on Oct 15, 2026, limited to aisnet.org, higheredjobs.com, chronicle.com, insidehighered.com, academickeys.com, informs.org, linkedin.com and indeed.com. The query covered all 4 schools, combined with IS, MIS, business analytics, data analytics, IT and decision-sciences terms plus "assistant professor tenure-track 2027". It found no confirmable current-cycle tenure-track or tenured IS, analytics, OM/SCM or decision-sciences line at any of the 4 schools, so postings is</t>
  </si>
  <si>
    <t xml:space="preserve">University of Arkansas for Medical Sciences</t>
  </si>
  <si>
    <t xml:space="preserve">University of Colorado Colorado Springs</t>
  </si>
  <si>
    <t xml:space="preserve">CO</t>
  </si>
  <si>
    <t xml:space="preserve">Found 0 new research posting(s). 1 search(es). Round 2 (Oct 15, 2026): I ran 1 extended WebSearch: "University of Colorado Colorado Springs" OR UCCS College of Business tenure-track assistant professor faculty position 2027 (information systems OR analytics OR accounting OR finance OR marketing OR management). None of the results was a current-cycle job posting. They were: two older campus news items about new tenure-track hires (communique.uccs.edu/?p=7921 and ?p=1503; one mentions past College of Business hires in marketing and in OB/HR, which are not openings); UCCS and College of Education policy PDFs on reappointment, promotion and tenure; the provost's tenure-documents and faculty-orientation pages; the College of Business faculty directory (business.uccs.edu/about/directory/faculty), which lists current assistant professors in Information Systems (Sandeep Suntwal), Business Analytics &amp; Supply Chain Management (Mona Jabbari) and Marketing (Robina Ghosh), a sign the college keeps tenure-track IS and analytics lines but not an opening; a Scribe student-newspaper salary article with 2024-25 data (median $77,012 for tenure-track assistant professors, $89,253 for associate professors); and an unrelated 2021 University of Central Arkansas OM/SCM posting on the MIT logprofs list, which is excluded as the wrong institution and a prior cycle. No 2026-27 or 2027-start tenure-track or tenured posting turned up in any business field at the College of Business, and none in any IS-adjacent non-business unit such as computing or data science. No new non-research IS or analytics lines were seen either; the known Lecturer pool in Quantitative Methods &amp; Business Analytics (ZipRecruiter) was already listed and is not reported again. Together with the 2 round-1 searches, this makes 3 searches with no research posting at UCCS. Because CU Careers / Workday listings are often not indexed by web search, the candidate should check the CU Careers portal (filtered to the UCCS campus, College of Business) and HigherEdJobs directly before concluding nothing is open. No sponsorship or industry-experience wording was seen. | JOB-BOARD SWEEP (shared with paired school): found 0 new. I ran one WebSearch in extended mode with the query ("University of Colorado Colorado Springs" OR "University of Northern Colorado")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uccs.edu, cu.edu, unco.edu and careers.unco.edu.
 | IS-FOCUSED SWEEP (shared with 3 schools): found 0 new. I read all 4 item files first. Known postings, which were not re-reported: the UCCS Lecturer pool in Quantitative Methods &amp; Business Analytics, and the SCSU School of Business part-time instructor pool. UNC and DSU had none listed. I then ran exactly one extended WebSearch, limited to aisnet.org, higheredjobs.com, chronicle.com, insidehighered.com, academickeys.com, informs.org, linkedin.com and indeed.com. The query covered all 4 schools with IS, MIS, business analytics, data analytics, IT and </t>
  </si>
  <si>
    <t xml:space="preserve">University of Massachusetts Dartmouth</t>
  </si>
  <si>
    <t xml:space="preserve">Found 0 new research posting(s). 1 search(es). This was one extended WebSearch with no domain filter, so it could reach job boards that round 1's umassd.edu-only search missed. Query: "UMass Dartmouth" OR "University of Massachusetts Dartmouth" Charlton College of Business tenure-track assistant professor faculty position Fall 2027. It found no current-cycle research posting (Fall 2027 start, posted around June 2026 or later) in the Charlton College of Business or in any IS-adjacent non-business unit.
Two tenure-track postings came back, and both belong to earlier cycles, so they are excluded:
(1) "Tenure-Track Assistant Professor in the field of Information Systems - University of Massachusetts Dartmouth," copied to the AOM CTO discussion board (https://cto.aom.org/discussion/tenure-track-assistant-professor-in-the-field-of-information-systems-university-of-massachusetts-dartmouth). Its start date is September 1, 2024, and it requires a "Ph.D. in business administration with a concentration in information systems, technology management, or a closely related field." It was a fit-5 line, but it is two cycles old and closed. It does show that Charlton has hired for IS in the past, so a future IS line there is plausible.
(2) "Assistant Professor - Finance (Tenure Track)," found on ZipRecruiter (https://www.ziprecruiter.com/c/University-of-Massachusetts/Job/Assistant-Professor-Finance-(Tenure-Track)/-in-Dartmouth,MA?jid=9329f6caa65c955e&amp;version=next) and on Talent.com (https://www.talent.com/view?id=3be38a76e45d). Its start date is September 1, 2026, with a salary of $140,000–$155,000 and ABD candidates considered. It is a prior-cycle posting and also fit 0, since finance is outside the candidate's field.
The results also mentioned assistant professor listings in management and strategic management, but no start date or posting date was shown, so they could not be confirmed as current-cycle.
The other results were general pages, not postings:
- the faculty promotions and tenure page (umassd.edu/faculty/tenure)
- Charlton faculty, expertise, department and Management &amp; Marketing faculty pages
- an academicjobs.com article titled "UMass Dartmouth Jobs 2026" (a general careers article)
- an Indeed search page for Massachusetts tenure-track jobs
No non-research IS or analytics lines (lecturer, teaching professor or clinical) were seen. No sponsorship wording was seen. Round 1's check of the official portals (careers.umassd.edu, umassd.edu/hr faculty job opportunities) also found no Charlton posting. The candidate should still check those portals directly for a 2027 IS or Decision &amp; Information Sciences line that may not be indexed yet. | JOB-BOARD SWEEP (shared with paired school): found 0 new. I ran one extended WebSearch with the query ("Clark University" OR "University of Massachusetts Dartmouth" OR "UMass Dartmouth")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clarku.edu, umassd.edu and careers.umassd.edu. It returne | IS-FOCUSED SWEEP (shared with 3 schools): found 0 new. I read all four known-postings files first. The only known item was the Southern University system's part-time adjunct pool (https://www.sus.edu/news/7270). The other three schools had no known postings. I then ran one extended WebSearch across aisnet.org, higheredjobs.com, chronicle.com, insidehighered.com, academickeys.com, informs.org, linkedin.com and indeed.com. It combined the four school names with IS, MIS, business analytics, data analytics, IT and decision sciences terms, plus "assistan</t>
  </si>
  <si>
    <t xml:space="preserve">University of New England</t>
  </si>
  <si>
    <t xml:space="preserve">ME</t>
  </si>
  <si>
    <t xml:space="preserve">Found 0 new research posting(s). 1 search(es). I ran one extended WebSearch with the query: "University of New England" Maine "College of Business" assistant professor tenure-track 2027 faculty position. It was limited to une.peopleadmin.com, une.edu, higheredjobs.com, chronicle.com, insidehighered.com, academickeys.com, indeed.com and linkedin.com. Round 1 had only searched UNE's own domains, so this round added the job boards.
Results:
(1) The UNE PeopleAdmin search page (https://une.peopleadmin.com/postings/search?sort=227+asc) and an unrelated PeopleAdmin posting (https://une.peopleadmin.com/postings/26271).
(2) The Chronicle listing "Assistant Teaching Professor of Sport Leadership" (https://jobs.chronicle.com/job/38050584/assistant-teaching-professor-of-sport-leadership/). This is a College of Business teaching-track role in sport leadership, management and outdoor business. It is "Faculty Track Non Tenure", with a 4-4 load, an August 2027 start, the Biddeford campus, and committee chair Aimee Vlachos. It is not a research line and is outside the candidate's field. It is the same role round 1 found, so it is excluded.
(3) The Chronicle UNE employer hub (https://jobs.chronicle.com/employer/aa0d08bc-a1ed-4fe7-b08d-156606c8b902/university-of-new-england/hub/jobs). It surfaced only non-business roles, such as "Assistant Professor, Teaching Track, Biomedical Sciences" (https://jobs.chronicle.com/job/38017897/), which is a teaching track outside business. Excluded.
(4) HigherEdJobs "Adjunct Faculty - College of Business" (https://www.higheredjobs.com/faculty/details.cfm?JobCode=179100335). This is a part-time adjunct pool, not a research line. One UNE careers text noted that the College of Business is "currently fully staffed for the 2026-2027 academic year" but keeps applications on file. Excluded.
(5) Indeed aggregate pages (UNE faculty jobs; adjunct faculty jobs in Maine). The search summary mentioned a tenured "Full Professor" listing on Indeed but gave no date, department or direct posting URL. I could not confirm it is a business or IS-adjacent line or that it belongs to the current cycle, so I did not report it.
(6) The UNE College of Business people page and the 2019 faculty handbook, which are not postings.
I found no current-cycle tenure-track or tenured research posting in the College of Business in any field: no IS, analytics, OM/SCM, accounting, finance, marketing or management. UNE also has no iSchool, data-science school or computing college, and I saw no IS-adjacent tenure-track posting there. I noticed no non-research IS or analytics lecturer or clinical lines; the only non-research business lines are the sport leadership teaching-track role and the adjunct pool. This agrees with round 1: the College of Business is small and mostly teaching-focused, with no research line found. The candidate could check une.peopleadmin.com directly later in the cycle. | JOB-BOARD SWEEP (shared with paired school): found 0 new. I ran one extended WebSearch. Query: ("Morgan State University" OR "University of New England")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morgan.edu, morgan.peopleadmin.com, une.peopleadmin.com, une.edu.
What came back for Morga | IS-FOCUSED SWEEP (shared with 3 schools): found 0 new. I ran one extended WebSearch, limited to aisnet.org, higheredjobs.com, chronicle.com, insidehighered.com, academickeys.com, informs.org, linkedin.com and indeed.com. The query covered all 4 schools plus IS/MIS/business analytics/data analytics/IT/decision sciences, with "assistant professor tenure-track 2027". No posting met the inclusion rules (current cycle, research or tenure-track, deadline on or after 2026-10-15 or open until filled). (1) MORGAN STATE: Indeed pages (indeed.com/q-morgan-stat</t>
  </si>
  <si>
    <t xml:space="preserve">University of New Orleans</t>
  </si>
  <si>
    <t xml:space="preserve">Found 0 new research posting(s). 1 search(es). Round 2 ran one extended WebSearch with no domain limit, aimed at job boards and the LSU-hosted portal rather than uno.edu: "University of New Orleans" OR "LSU New Orleans" College of Business Administration assistant professor tenure-track faculty position 2027. No current-cycle research faculty posting for UNO/LSU New Orleans COBA appeared in any business field. What came back: (1) Loyola University New Orleans, a separate private institution, has Fall 2027 tenure-track jobs in its business college. These are Tenure Track Strategic Management Faculty (jobs.chronicle.com/job/38012483; also on Monster) and Tenure-track Accounting Faculty (careercenter.aaahq.org/job/253504), plus a finance role. All are excluded because they are not at UNO. (2) The search summary named LSU New Orleans in only one listing, a tenure-track Assistant Professor in Urban and Regional Planning. It is excluded because it is not a business-school line and not IS-adjacent (not information science, data science or computing). No URL for it appeared in the result links. (3) One result was from Southern University at New Orleans (SUNO), a separate school, so it was excluded. (4) The only uno.edu result was an old faculty-appointment policy PDF from the Office of the Provost (uno.edu/media/17346/download, about 12 years old), not a vacancy. Results also included generic Chronicle New Orleans job-list pages and ZipRecruiter/SchoolJobs pages for Loyola. No non-research IS/analytics lines at UNO (lecturer, instructor, clinical) were seen. Taken with round 1, which also found no COBA vacancy when limited to uno.edu, there is no evidence of an open COBA research line this cycle. The candidate could check the LSU New Orleans HR careers portal directly; uno.edu/hrm says applications go through the LSU New Orleans Office of Human Resource Management. | JOB-BOARD SWEEP (shared with paired school): found 0 new. I ran one extended WebSearch with this query: ("Southern University and A&amp;M College" OR "University of New Orleans" OR "LSU New Orleans")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subr.edu, sus.edu and uno.edu. It returned 10 li | IS-FOCUSED SWEEP (shared with 3 schools): found 0 new. I read all four known-postings files first. The only known item was the Southern University system's part-time adjunct pool (https://www.sus.edu/news/7270). The other three schools had no known postings. I then ran one extended WebSearch across aisnet.org, higheredjobs.com, chronicle.com, insidehighered.com, academickeys.com, informs.org, linkedin.com and indeed.com. It combined the four school names with IS, MIS, business analytics, data analytics, IT and decision sciences terms, plus "assistan</t>
  </si>
  <si>
    <t xml:space="preserve">University of North Florida</t>
  </si>
  <si>
    <t xml:space="preserve">Found 0 new research posting(s). 1 search(es). I ran one extended WebSearch with no domain restriction, so that job boards would appear alongside the university's own sites (round 1 had searched only unf.edu and jobs.unf.edu). The query was: "University of North Florida" Coggin College of Business assistant professor tenure-track faculty position Fall 2027. It found no current-cycle (2027 start) research faculty posting in the Coggin College of Business in any field. It also found none in an IS-adjacent non-business unit.
Results, and why each was excluded:
(1) unfjobs.org/postings/23322: a tenure-track Assistant Professor of Marketing in the Department of Marketing &amp; Logistics, Coggin College, starting Fall 2024. This is a prior cycle and closed. Its field is general marketing, so it would have scored 0 anyway.
(2) cstheory-jobs.org/2026/07/30/faculty-assistant-or-associate-professor-at-university-of-north-florida-apply-by-august-31-2026/: a UNF tenure-track Assistant or Associate Professor line in computer science, which is outside the business college. It was posted July 30, 2026, and its stated deadline is August 31, 2026. That deadline is before today (Oct 15, 2026), and the results showed no 'open until filled' or priority-date wording, so it fails the open rule. Its posting on a theory-CS job board suggests a general or theoretical CS line rather than HCI, social computing, applied AI or data science. If it were still open and AI- or data-focused it might score about 3. It may be worth a quick manual check of UNF's School of Computing listing on unfjobs.org to see whether it is still being reviewed.
(3) Other results were not postings: Coggin home, about and graduate-program pages, a UNF events page, an academicjobs.com employer profile with no specific Coggin posting shown, a SignalHire company page, a 2018 MIT logprofs mailing-list job announcement (old), and a University of Florida tenure-guidelines PDF (a different university).
I noticed no non-research IS or analytics line (lecturer, instructor or clinical) at Coggin. The university's HR portal appears in results as unfjobs.org, in addition to jobs.unf.edu. Coggin offers MS Business Analytics and Business Intelligence programs, so an IS or analytics line could still be posted later. The candidate should recheck unfjobs.org periodically. | JOB-BOARD SWEEP (shared with paired school): found 0 new. Ran ONE extended WebSearch. Query: ("University of North Florida" OR "University of West Florida") assistant professor tenure-track ("information systems" OR analytics OR "data science" OR "supply chain" OR operations OR "management science" OR "business analytics") 2027. Domains allowed: higheredjobs.com, chronicle.com, insidehighered.com, academickeys.com, linkedin.com, indeed.com, aisnet.org, informs.org, careers.uwf.edu, jobs.unf.edu. The search engine said it shortened the query to plain te | IS-FOCUSED SWEEP (shared with 3 schools): found 0 new. I ran one extended WebSearch, limited to aisnet.org, higheredjobs.com, chronicle.com, insidehighered.com, academickeys.com, informs.org, linkedin.com and indeed.com. The query covered all four schools together with IS, MIS, business analytics, data analytics, IT and decision sciences terms, plus "assistant professor tenure-track 2027". It found no IS, MIS or business analytics tenure-track posting in any of the four business schools: ERAU O'Maley College of Business, Florida Tech Bisk College of</t>
  </si>
  <si>
    <t xml:space="preserve">University of Northern Colorado</t>
  </si>
  <si>
    <t xml:space="preserve">Found 0 new research posting(s). 1 search(es). I ran one extended WebSearch with no domain filter: "University of Northern Colorado" Monfort College of Business tenure-track assistant professor position Fall 2027. Round 1 had searched only unco.edu domains, so this time I searched the open web. No current-cycle (start 2027) research faculty posting at Monfort College of Business came back in any field, including IS, analytics, OM/SCM, accounting, finance, marketing or management. Here is what the results contained: (1) The Monfort Management department page (https://www.unco.edu/mcb/management/). It lists current assistant professors (Hendrick, Gandhi, Harris, Talebzadehhosseini) and mentions no open search. (2) The search summary said an aggregator listed a "full-time, tenure-track position in the Department of Management in the Monfort College of Business". It gave no date, start term or URL for that listing, and nothing tied it to the 2027 cycle. It is probably an older posting, so I left it out because I could not verify it. (3) A UNC "Tenure Track Assistant Professor - School of Nursing" requisition on UNC's Cornerstone careers site (https://unco.csod.com/ux/ats/careersite/1/home/requisition/832?c=unco). Nursing is not a business field or IS-adjacent, so I excluded it. UNC now posts jobs on unco.csod.com, not careers.unco.edu, and future searches should target that domain. (4) Other UNC tenure-track openings, such as one in Applied Psychology &amp; Counselor Education with a target hire date of 8/1/2026. These are prior-cycle and outside business/IS, so I excluded them. (5) Generic Indeed Colorado "tenure track" listing pages, plus US News, Wikipedia, LinkedIn and UNC policy PDFs. None of them contained a specific posting. UNC has no iSchool or data-science college with an IS-adjacent research tenure-track line in these results. I saw no non-research IS/analytics lecturer or clinical lines either. No sponsorship or industry-experience wording appeared anywhere. Result: no qualifying open research postings. A useful next step would be checking unco.csod.com directly for Monfort postings. | JOB-BOARD SWEEP (shared with paired school): found 0 new. I ran one WebSearch in extended mode with the query ("University of Colorado Colorado Springs" OR "University of Northern Colorado")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uccs.edu, cu.edu, unco.edu and careers.unco.edu.
 | IS-FOCUSED SWEEP (shared with 3 schools): found 0 new. I read all 4 item files first. Known postings, which were not re-reported: the UCCS Lecturer pool in Quantitative Methods &amp; Business Analytics, and the SCSU School of Business part-time instructor pool. UNC and DSU had none listed. I then ran exactly one extended WebSearch, limited to aisnet.org, higheredjobs.com, chronicle.com, insidehighered.com, academickeys.com, informs.org, linkedin.com and indeed.com. The query covered all 4 schools with IS, MIS, business analytics, data analytics, IT and </t>
  </si>
  <si>
    <t xml:space="preserve">University of Oklahoma Health Sciences Center</t>
  </si>
  <si>
    <t xml:space="preserve">University of Puerto Rico-Rio Piedras</t>
  </si>
  <si>
    <t xml:space="preserve">Found 0 new research posting(s). 1 search(es). I ran one extended WebSearch with no domain restriction, in Spanish because UPR posts faculty calls in Spanish: "Río Piedras" "Administración de Empresas" convocatoria plaza docente catedrático auxiliar 2026 OR 2027 sistemas de información. It found no current-cycle research line (2027 start, posted around June 2026 or later) at the Facultad de Administración de Empresas (FAE) in any business field. It also found no research line in an IS-adjacent non-business unit.
Results:
(1) https://uprrp.edu/wp-content/uploads/2026/03/Convocatoria-Plaza-Contabilidad-FAE-Agosto-2026-Espanol-9-marzo-2026-signed.pdf is a probationary faculty position in FAE's Departamento de Contabilidad. It is dated 9 March 2026 and starts August 2026. It requires a PhD in Accounting or a terminal degree in Accounting or a related area. The search summary says it asks for experience teaching courses that integrate information systems, data analytics and AI. Excluded: it belongs to the prior cycle (start August 2026, posted March 2026), so it counts as closed under the rules. It would also score 0–1, since it is accounting and the candidate has no accounting PhD or CPA.
(2) The campus job page https://www.uprrp.edu/empleos/ showed only a call for nominations for campus rector (deadline October 6, 2026). That is an administrative role, not a faculty line. The snippet confirmed no open faculty calls.
(3) The page https://www.uprrp.edu/tag/convocatorias-plazas-docentes/ came back with an old snippet (about two years old). No new convocatoria was visible.
(4) The other results were Spanish and Colombian university postings (BOE, UNED, UAM, UPM, JDC) and are unrelated.
No notable non-research IS/analytics lines (lecturer, clinical) were seen. UPR posts short-window Spanish PDF convocatorias on uprrp.edu. A 2027-start FAE call in Sistemas de Información (MIS) could still appear later in the cycle, so the candidate should check uprrp.edu/empleos and the convocatorias-plazas-docentes tag page from time to time. Note that UPR calls usually require Spanish proficiency. | JOB-BOARD SWEEP (shared with paired school): found 0 new. I ran one extended WebSearch covering both schools: ("Thomas Jefferson University" OR "University of Puerto Rico-Rio Piedras" OR "University of Puerto Rico Rio Piedras")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jefferson.edu | IS-FOCUSED SWEEP (shared with 3 schools): found 0 new. I ran one extended WebSearch, limited to aisnet.org, higheredjobs.com, chronicle.com, insidehighered.com, academickeys.com, informs.org, linkedin.com and indeed.com. The query covered all four schools together with IS, MIS, business analytics, data analytics, IT and decision sciences terms, plus "assistant professor tenure-track 2027". None of the four schools showed a confirmed tenure-track or tenured IS or analytics opening for the current cycle.
Thomas Jefferson University: one weak lead. Th</t>
  </si>
  <si>
    <t xml:space="preserve">Found 3 new research posting(s). 1 search(es). I ran one extended WebSearch: "University of San Diego Knauss School of Business tenure-track assistant professor faculty position Fall 2027". I limited it to jobs.sandiego.edu, sandiego.edu, apply.interfolio.com, higheredjobs.com, chronicle.com, academickeys.com, linkedin.com, indeed.com and insidehighered.com.
Results:
- Three current-cycle Knauss research lines came back:
  - Assistant Professor of Accounting, tenure-track, taxation interest, Fall 2027 (posting #5726).
  - Open-rank Finance, any specialization (posting #5702).
  - Two tenure-track Assistant Professor positions in the Department of Management, Fall 2027, on HigherEdJobs. Its "application due date" is 09/14/2026, which is before today. The results do not show whether that is a hard deadline or a review-start date, and the listing still appears on HigherEdJobs. I included it with LOW open confidence; it may be closed.
- The file listed no already-known postings, so I report the Accounting and Finance lines that round 1 found here, alongside the newly found Management line.
Excluded:
- "Associate or Full Professor - Doctoral Programs" (jobs.sandiego.edu job 496886). The results do not tie it to the business school; it appears to be an education/leadership doctoral-programs line. It is also not an IS-adjacent unit.
- LinkedIn profiles, directory pages and catalog pages. These are not postings.
Not found:
- No IS, MIS, business analytics, operations/supply chain or marketing-analytics faculty line at Knauss in this search or in round 1.
- No IS-adjacent non-business research line (data science / computing) at USD.
- No non-research IS/analytics lines (lecturer/clinical).
No visa-sponsorship or industry-experience wording appeared in the result snippets. Every result line here is score 0, outside the candidate's IS field, so the strong-fit list from this school stays empty. | JOB-BOARD SWEEP (shared with paired school): found 1 new. I ran one extended WebSearch: ("University of San Diego" OR "University of San Francisco") assistant professor tenure-track ("information systems" OR analytics OR "data science" OR "supply chain" OR operations OR "management science" OR "business analytics") 2027. I limited it to higheredjobs.com, chronicle.com, insidehighered.com, academickeys.com, linkedin.com, indeed.com, aisnet.org, informs.org, jobs.sandiego.edu, careers.usfca.edu, usfca.wd1.myworkdayjobs.com and apply.interfolio.com. The e | IS-FOCUSED SWEEP (shared with 3 schools): found 0 new. Third-angle check (2026-10-15): I ran one extended WebSearch limited to aisnet.org, higheredjobs.com, chronicle.com, insidehighered.com, academickeys.com, informs.org, linkedin.com and indeed.com. The query covered all 4 schools together, with IS, MIS, business analytics, data analytics, IT and decision sciences terms, plus 'assistant professor tenure-track 2027'. The search engine ignored the boolean operators and searched plain keywords, so most results came from San Diego-area schools that ar</t>
  </si>
  <si>
    <t xml:space="preserve">University of San Francisco</t>
  </si>
  <si>
    <t xml:space="preserve">Found 0 new research posting(s). 1 search(es). Query (extended mode, open web): "University of San Francisco" School of Management tenure-track assistant professor Fall 2027 faculty position. Results were mostly generic aggregator pages: ZipRecruiter (https://www.ziprecruiter.com/Jobs/Tenure-Track-Assistant-Professor/-in-San-Francisco,CA, https://www.ziprecruiter.com/Jobs/Assistant-Professor/-in-San-Francisco,CA, and a USF "Video Coordinator" staff page), Chronicle (https://jobs.chronicle.com/jobs/faculty-positions/san-francisco/), Indeed (https://www.indeed.com/q-Tenure-Track-Faculty-l-San-Francisco,-CA-jobs.html, plus an Indeed USF assistant-professor salary page), an SFSU tenure-committee page, a University of South Florida (usf.edu) T&amp;P guideline page, and a globalEDGE USF resource page. None showed a current-cycle (start 2027) research or tenure-track line in USF's School of Management, in any business field, and none showed one in an IS-adjacent non-business unit either. Excluded items: (1) a part-time adjunct/lecturer listing for undergraduate accounting at USF's Hilltop Campus. It is not a research line, and the field is accounting rather than IS or analytics. (2) A 2012 School of Management entrepreneurship tenure-track posting on globalEDGE. It is from a long-past cycle and closed. (3) "Assistant Professor, Tenure-Track, Program in Architecture, Department of Art + Architecture" (career.svu.app copy). Its start is Fall 2026, so it is prior-cycle and closed, and it is outside the business school and outside IS. (4) A full-time Visiting Assistant Professor in Environmental Science for calendar year 2027. It is non-tenure-track and not a business or IS field. I saw no non-research IS or analytics lecturer or clinical lines. Caveat: this search also failed to reach USF's official HR portal (careers.usfca.edu / Workday / Interfolio), and round 1's domain-limited search came back empty too. So the result is "nothing found" rather than confirmation that no line exists. USF's School of Management has a Business Analytics and Information Systems area, so the candidate should check the USF careers portal and Interfolio directly for any 2027 BAIS or analytics tenure-track posting. | JOB-BOARD SWEEP (shared with paired school): found 0 new. I ran one extended WebSearch: ("University of San Diego" OR "University of San Francisco") assistant professor tenure-track ("information systems" OR analytics OR "data science" OR "supply chain" OR operations OR "management science" OR "business analytics") 2027. I limited it to higheredjobs.com, chronicle.com, insidehighered.com, academickeys.com, linkedin.com, indeed.com, aisnet.org, informs.org, jobs.sandiego.edu, careers.usfca.edu, usfca.wd1.myworkdayjobs.com and apply.interfolio.com. The e | IS-FOCUSED SWEEP (shared with 3 schools): found 0 new. Third-angle check (2026-10-15): I ran one extended WebSearch limited to aisnet.org, higheredjobs.com, chronicle.com, insidehighered.com, academickeys.com, informs.org, linkedin.com and indeed.com. The query covered all 4 schools together, with IS, MIS, business analytics, data analytics, IT and decision sciences terms, plus 'assistant professor tenure-track 2027'. The search engine ignored the boolean operators and searched plain keywords, so most results came from San Diego-area schools that ar</t>
  </si>
  <si>
    <t xml:space="preserve">University of South Alabama</t>
  </si>
  <si>
    <t xml:space="preserve">Found 0 new research posting(s). 1 search(es). I ran one extended WebSearch with this query: "University of South Alabama" tenure-track assistant professor 2027 faculty position business OR "information systems" OR analytics OR computing. Round 1 had searched only southalabama.edu, so this time I left out a domain filter to reach the job boards. No current-cycle research line turned up in the Mitchell College of Business in any business field. Nothing turned up in the School of Computing either: no IS &amp; Technology, CS, data science or HCI line. Here is what came back and why each item was left out:
(1) Assistant Professor (Tenure Track), Systems Engineering, College of Engineering, on academickeys (engineering.academickeys.com job IDX 281100). Start is Aug 15, 2027, it was posted Oct 5, 2026, and it is open until filled. It requires a doctorate in Systems Engineering or a closely related engineering discipline. That is an engineering field, not an IS-adjacent unit, so I excluded it.
(2) Two Assistant Professor (Tenure Track) lines in Electrical and Computer Engineering, on academickeys (IDX 281452). Start is Aug 15, 2027 and they were posted Oct 13, 2026. They require a PhD in Computer Engineering or a closely related field. That is hardware-oriented engineering, not IS, HCI, social computing or data science, so I excluded them.
(3) Biology tenure-track Assistant Professor, two positions starting Aug 15, 2027 (jobs.chronicle.com/job/38023644 and careers.aapt.org). Computational or big-data skills are a plus for one of them. Not a business or IS field, so excluded.
(4) Physics tenure-track Assistant Professor, starting Aug 15, 2027, deadline Nov 30, 2026. Not relevant.
(5) Communication faculty openings page on southalabama.edu. This is the 2024 cycle, so excluded.
(6) The result titled "Tenure-Track Assistant Professor in MIS - Tuscaloosa, AL" (Indeed, plus HigherEdJobs JobCode 179579070) is the University of Alabama, a different institution, and its start date was Aug 2025. Excluded.
I saw no IS or analytics lecturer, clinical or other non-research line at South Alabama. Round 1 found the official Available Faculty Positions page showing no MCOB business openings except a Distinguished Professor of Leadership, which is out of scope. This search did not contradict that. I saw no sponsorship or industry-experience wording. Because this was a single search, a posting on jobs.southalabama.edu that search engines have not indexed could still have been missed. | JOB-BOARD SWEEP (shared with paired school): found 0 new. I ran one extended WebSearch on 2026-10-15. Query: ("University of Alabama in Huntsville" OR "University of South Alabama") assistant professor tenure-track ("information systems" OR analytics OR "data science" OR "supply chain" OR operations OR "management science" OR "business analytics") 2027. The search tool said it simplified the boolean query. Allowed domains: higheredjobs.com, chronicle.com, insidehighered.com, academickeys.com, linkedin.com, indeed.com, aisnet.org, informs.org, uah.edu,  | IS-FOCUSED SWEEP (shared with 3 schools): found 0 new. I ran one extended WebSearch on Oct 15, 2026, limited to aisnet.org, higheredjobs.com, chronicle.com, insidehighered.com, academickeys.com, informs.org, linkedin.com and indeed.com. The query covered all 4 schools, combined with IS, MIS, business analytics, data analytics, IT and decision-sciences terms plus "assistant professor tenure-track 2027". It found no confirmable current-cycle tenure-track or tenured IS, analytics, OM/SCM or decision-sciences line at any of the 4 schools, so postings is</t>
  </si>
  <si>
    <t xml:space="preserve">University of Texas Medical Branch</t>
  </si>
  <si>
    <t xml:space="preserve">University of Texas Rio Grande Valley</t>
  </si>
  <si>
    <t xml:space="preserve">Found 0 new research posting(s). 1 search(es). One extended WebSearch: "UTRGV" OR "University of Texas Rio Grande Valley" Vackar College of Business tenure-track assistant professor faculty position 2027. It found three tenure-track or tenure-eligible lines in the Robert C. Vackar College of Business and Entrepreneurship. All three are for AY 2026-2027, which is the prior cycle, so they are treated as closed and excluded. (1) Assistant Professor, Information Systems-QUMT (FRGV1912, careers.utrgv.edu/postings/49205). A Chronicle copy is at jobs.chronicle.com/job/37960670 and the search summary says it is dated March 2026. The line is for 2026-2027 and covers teaching quantitative methods (business statistics, data analytics). It is the same posting round 1 already marked as old or closed. It would have scored 4-5 for the candidate if it were current. (2) Assistant/Associate Professor of Marketing (FRGV1890, careers.utrgv.edu/postings/48977), starting 2026-2027. Prior cycle, and it would score 0. (3) Assistant/Associate Professor of International Business &amp; Entrepreneurship (FRGV1918, careers.utrgv.edu/postings/49257). It requires a PhD or DBA in International Business or International Accounting from an AACSB school, and the search summary puts it in the same 2026-27 batch. Prior cycle, and it would score 0. A clinical (non-tenure-track) management posting from 2025-2026 also came up. It is non-research and from the prior cycle, so it is excluded. The results showed no AY 2027-28 posting yet. The IS/QUMT department hired tenure-track faculty last cycle, so a new posting may still appear this fall; recheck careers.utrgv.edu (faculty position type) later. The results showed no new non-research IS/analytics lines beyond the part-time IS lecturer already known (postings/50193). The results showed no research lines in IS-adjacent non-business units such as computer science or informatics. | JOB-BOARD SWEEP (shared with paired school): found 0 new. I ran one extended WebSearch: ("Texas A&amp;M University-Kingsville" OR "University of Texas Rio Grande Valley") assistant professor tenure-track ("information systems" OR analytics OR "data science" OR "supply chain" OR operations OR "management science" OR "business analytics") 2027. I limited it to higheredjobs.com, chronicle.com, insidehighered.com, academickeys.com, linkedin.com, indeed.com, aisnet.org, informs.org, careers.utrgv.edu and tamus.wd1.myworkdayjobs.com.
It returned 10 links: Indee | IS-FOCUSED SWEEP (shared with 3 schools): found 0 new. I ran one extended WebSearch, limited to aisnet.org, higheredjobs.com, chronicle.com, insidehighered.com, academickeys.com, informs.org, linkedin.com and indeed.com. The query was: ("Sam Houston State University" OR "Tarleton State University" OR "Texas A&amp;M University-Kingsville" OR "University of Texas Rio Grande Valley") ("information systems" OR "MIS" OR "business analytics" OR "data analytics" OR "information technology" OR "decision sciences") assistant professor tenure-track 2027. The sear</t>
  </si>
  <si>
    <t xml:space="preserve">University of Texas at Tyler</t>
  </si>
  <si>
    <t xml:space="preserve">Found 0 new research posting(s). 1 search(es). Round 1 searched only UT Tyler domains and found no postings, so this round ran one open-web extended search instead: "UT Tyler" OR "University of Texas at Tyler" Soules College of Business assistant professor tenure-track faculty position fall 2027.
It returned 10 results:
- the AOM OMT discussion post "Faculty Job Posting - Tenure-track Assistant Professor in Human Resource Management at The University of Texas at Tyler" (omt.aom.org)
- the UT Tyler Tenure and Promotion page and the Soules College T&amp;P policy PDF
- a Chronicle job "Assoc Professor - Texas, United States job with University of Texas at Tyler" (https://jobs.chronicle.com/job/38047801/assoc-professor/)
- SmartCatalog faculty and college pages, the Soules College homepage, the UT Tyler Technology faculty page, a Peterson's program page and Wikipedia
Exclusions:
- The Soules HRM tenure-track Assistant Professor posting is from a prior cycle. It was posted in October 2022 and required the doctorate by August 2023, so it is closed. It was also HR management, which would score 0 on fit.
- The newest academic listing the search summary described was an Assistant/Associate Professor of Counseling in the Department of Psychology and Counseling. It was posted about 9 days before today and offers a Spring 2027 or Fall 2027 start; it is probably the Chronicle "Assoc Professor" link. It is counselor education, outside the business school and not IS-adjacent, so it was excluded.
Nothing came back for a current-cycle research line in the Soules College of Business in any business field, including the School of Technology's computer science / CIS area, and nothing for an IS-adjacent non-business unit. No non-research IS or analytics lines (lecturer, clinical) turned up either.
This is one search, so a recent posting that search engines have not yet indexed could still be missed. The candidate could check UT Tyler's careers portal directly for Soules or Technology (CIS) openings. | JOB-BOARD SWEEP (shared with paired school): found 0 new. I read both item files first. Neither school had any postings already listed. For Virginia State University, the round-1 note mentioned a Management &amp; Marketing Assistant/Associate Professor line on careers.vsu.edu. That line did not come back in this search, so I could not check or report it here.
I ran exactly one WebSearch in extended mode. Query: ("University of Texas at Tyler" OR "Virginia State University") assistant professor tenure-track ("information systems" OR analytics OR "data scie | IS-FOCUSED SWEEP (shared with 3 schools): found 0 new. I ran one extended WebSearch covering both schools, limited to aisnet.org, higheredjobs.com, chronicle.com, insidehighered.com, academickeys.com, informs.org, linkedin.com and indeed.com. I used IS/MIS/business analytics/data analytics/IT/decision sciences terms with "assistant professor tenure-track 2027". It found no current tenure-track or tenured IS, MIS, CIS, business analytics, decision sciences, operations/supply chain or management science posting at either school that I could confirm. U</t>
  </si>
  <si>
    <t xml:space="preserve">Found 3 new research posting(s). 1 search(es). I ran one extended WebSearch: "University of West Florida assistant professor business tenure-track 2027 management information systems analytics accounting finance marketing". It was limited to careers.uwf.edu, uwf.edu, higheredjobs.com, jobs.chronicle.com, chronicle.com, insidehighered.com, careers.insidehighered.com, academickeys.com, indeed.com and linkedin.com.
What came back:
- The official UWF faculty portal search page (careers.uwf.edu/jobs/search/all-faculty).
- The UWF employer page on the Chronicle jobs site.
- Indeed pages for UWF jobs.
- Two Assistant Professor posting pages on careers.uwf.edu (positions 119750 and 119130). The results did not show their department or field, so they are not reported. They are probably non-business lines.
- A Chronicle posting for Assistant Professor of Biology (tenure-track, two positions starting August 2027). It is outside business and outside IS-adjacent units, so it is excluded.
- Lewis Bear Jr. College of Business faculty directory pages.
Business research lines seen, all with fit 0 and all reported here:
- Assistant Professor of Management (129750, requisition 496615, Department of Business Administration). The official closing date shown is Sep 25, 2026, which is before today (2026-10-15). Round 1 had seen an aggregator date of Nov 14, 2026 that conflicts with this. I am reporting it with LOW open confidence, so it should be dropped if the official closing date holds.
- Two tenure-track Assistant Professor posts in Accounting &amp; Finance (110450, requisition 496591; 107550, requisition 496461). No closing date and no start date appeared in the results. I am reporting them with low-to-medium confidence as possibly open until filled.
Gaps and exclusions:
- No MIS, IS, business analytics or marketing tenure-track line at UWF appeared in this search or in round 1.
- No IS-adjacent research line appeared in a non-business unit (computing, cybersecurity, data science).
- No business start date was shown, and the only August 2027 start in the results was the Biology posting.
- No non-research IS or analytics lines (lecturer, clinical, instructor) appeared in this search.
- No sponsorship or industry-experience wording was visible.
- To confirm what is open in business, check the official posting pages on careers.uwf.edu directly. | JOB-BOARD SWEEP (shared with paired school): found 0 new. Ran ONE extended WebSearch. Query: ("University of North Florida" OR "University of West Florida") assistant professor tenure-track ("information systems" OR analytics OR "data science" OR "supply chain" OR operations OR "management science" OR "business analytics") 2027. Domains allowed: higheredjobs.com, chronicle.com, insidehighered.com, academickeys.com, linkedin.com, indeed.com, aisnet.org, informs.org, careers.uwf.edu, jobs.unf.edu. The search engine said it shortened the query to plain te | IS-FOCUSED SWEEP (shared with 3 schools): found 0 new. I ran one extended WebSearch, limited to aisnet.org, higheredjobs.com, chronicle.com, insidehighered.com, academickeys.com, informs.org, linkedin.com and indeed.com. The query covered all four schools together with IS, MIS, business analytics, data analytics, IT and decision sciences terms, plus "assistant professor tenure-track 2027". It found no IS, MIS or business analytics tenure-track posting in any of the four business schools: ERAU O'Maley College of Business, Florida Tech Bisk College of</t>
  </si>
  <si>
    <t xml:space="preserve">Virginia State University</t>
  </si>
  <si>
    <t xml:space="preserve">Found 0 new research posting(s). 1 search(es). Round 2 (Oct 15, 2026). Ran one extended WebSearch: "Virginia State University" Reginald F. Lewis College of Business assistant professor tenure-track faculty position 2026-2027. No current-cycle research faculty posting (start 2027, posted about June 2026 or later) came back for the business school or for an IS-adjacent non-business unit. Here is what did come back and why each was left out:
(1) HigherEdJobs "College of Business Teaching / Research Faculty" (https://www.higheredjobs.com/faculty/details.cfm?JobCode=179026687). The summary says it is an assistant professor teaching/research listing posted January 2025 for the Fall 2024 and Spring 2025 semesters, with non-tenure-track appointments limited to a one-year contract. It belongs to a prior cycle and is not a research line. Excluded.
(2) jobs.virginia.gov "Dean, Reginald F. Lewis College of Business" (https://www.jobs.virginia.gov/jobs/dean-reginald-f-lewis-college-of-business-chesterfield-virginia-united-states). Hiring range $180,000-$200,000. It is an administrative post, not a research faculty line, and is likely out of date because the President's Cabinet page lists Emmanuel Omojokun as Dean. Excluded.
(3) HigherEdJobs institution listing page (https://www.higheredjobs.com/institution/search.cfm?University=Virginia+State+University). The results showed no specific current posting from it.
(4) The rest were general college pages: the Spring 2026 student accomplishments news, the alumni advisory board, advising, the graduate catalog, the college history and the President's Cabinet page. None of them is a job posting.
Context worth noting: Inside Higher Ed (Feb 25, 2026, https://www.insidehighered.com/news/faculty/tenure/2026/02/25/vsu-terminates-6-professors-without-due-process) reported that VSU terminated six professors, one of them tenure-track, without due process as part of a reorganization. This may affect how much new tenure-track hiring VSU does and how stable those jobs are.
The round-1 note mentioned an Assistant/Associate Professor line in Management &amp; Marketing on careers.vsu.edu. It did not show up in this search, so its current status could not be checked. Even if it is still open, it would score 0-1 for the candidate (general management/marketing, outside the candidate's IS field) unless it turns out to be about digital or technology topics.
No MIS/CIS, business analytics or IS-adjacent research line appeared, and neither did any notable non-research IS/analytics line (lecturer or clinical) for the current cycle. Recommended manual check: https://careers.vsu.edu/jobs/search/faculty, filtered for the MIS/CIS department. | JOB-BOARD SWEEP (shared with paired school): found 0 new. I read both item files first. Neither school had any postings already listed. For Virginia State University, the round-1 note mentioned a Management &amp; Marketing Assistant/Associate Professor line on careers.vsu.edu. That line did not come back in this search, so I could not check or report it here.
I ran exactly one WebSearch in extended mode. Query: ("University of Texas at Tyler" OR "Virginia State University") assistant professor tenure-track ("information systems" OR analytics OR "data scie | IS-FOCUSED SWEEP (shared with 3 schools): found 0 new. I ran one extended WebSearch covering both schools, limited to aisnet.org, higheredjobs.com, chronicle.com, insidehighered.com, academickeys.com, informs.org, linkedin.com and indeed.com. I used IS/MIS/business analytics/data analytics/IT/decision sciences terms with "assistant professor tenure-track 2027". It found no current tenure-track or tenured IS, MIS, CIS, business analytics, decision sciences, operations/supply chain or management science posting at either school that I could confirm. U</t>
  </si>
  <si>
    <t xml:space="preserve">Found 2 new research posting(s). 1 search(es). Ran one extended open-web search on Oct 15, 2026: "Wake Forest University" School of Business tenure-track assistant professor faculty position 2027. Results included the Wake Forest Interfolio portals (16449 and 190372), the Chronicle employer job hub, the FMA job board, Indeed, HigherEdJobs and departmental pages. The search found no current-cycle IS, MIS, business analytics, OM or SCM tenure-track posting in the School of Business. It also found none in any IS-adjacent non-business unit. It found two current School of Business research lines, Strategic Management (R0009028) and Finance (R0009091), and both are reported below. Round 1 named them in its note, but the file did not list them as known postings, so they appear here. Both are advanced assistant or higher roles, and both postings say recent PhDs with less than three years of post-PhD experience will not be considered. The candidate is therefore ineligible for both, and both score 0 on field. Excluded from this report: (1) Teaching Professor/Professor of the Practice/Lecturer in Organizational Behavior (R0009027), which is clinical, non-tenure-track and teaching-focused, starts July 1, 2027 and is on HigherEdJobs. (2) A 2023 POMS PDF for tenured/tenure-track open-rank and assistant professor positions, including business analytics. That is a prior cycle and is closed. (3) Tenure-track assistant professor searches in Physics (July 1, 2027 start, review from Nov 15, 2026) and Psychology. Both are outside business and IS-adjacent fields. No non-research IS or analytics line (lecturer or clinical) turned up this cycle. The search summary itself recommends checking the Wake Forest HR faculty openings page or Workday directly, because the index may be incomplete. | JOB-BOARD SWEEP (shared with paired school): found 0 new. I ran one extended WebSearch: ("Jackson State University" OR "Wake Forest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apply.interfolio.com, jsums.edu and wfu.edu. It returned 10 results, and none was a current-cycle t | IS-FOCUSED SWEEP (shared with 3 schools): found 0 new. I ran one extended WebSearch across all 4 schools using IS, MIS, analytics and decision-sciences terms, limited to aisnet.org, higheredjobs.com, chronicle.com, insidehighered.com, academickeys.com, informs.org, linkedin.com and indeed.com. It found no new current-cycle research-faculty posting in IS or analytics at any of the four schools. The only matching posting was Western Michigan University's "Assistant Professor - Business Information Systems - Tenure Track" at Haworth College of Business</t>
  </si>
  <si>
    <t xml:space="preserve">Found 1 new research posting(s). 1 search(es). I ran one extended WebSearch: "Western Michigan University" Haworth College of Business tenure-track assistant professor fall 2027 position. It found no Haworth posting that clearly says the start is Fall 2027. Here is what came back and why each item was kept or dropped. (1) Business Information Systems tenure-track Assistant Professor (ZipRecruiter copy; I believe this is round-1 posting F249P, which required a cybersecurity dissertation). The copy shows a validity date of April 4, 2026, so it is a prior-cycle posting and probably closed. Excluded. This is the line that would have fit the candidate best (fit 5), but no current-cycle repost turned up. (2) Marketing tenure-track Assistant Professor, two positions: one general marketing, one supply chain management and international business. Copies are on the AMA academic job board, Chronicle (jobs.chronicle.com/job/37953149, February 2026, open until filled), HERC, Capitol Communicator and jobright. The AMA listing is tagged Fall 2026, so this is the prior cycle. Excluded. One aggregator copy shows an expiration date in 2027, but the snippet is cut off and that is probably just the aggregator's own expiry, not a new Fall 2027 search. Even if it were current, the SCM/IB half would score 2 and general marketing 0. (3) Posting F301P on WMU's PeopleAdmin portal: Assistant or Associate Professor, Marketing, 1 vacancy. This is the only result that could belong to the current cycle. Its posting number is higher than F249P, so it was probably posted later. It is reported below with LOW confidence and fit 0. (4) Other results were generic: the portal search pages (westernmichigan-sb.peopleadmin.com, a wmujobs.org search page that was filtered for theatre) and the Haworth directory. No Management, Accountancy, Finance or Integrated Supply Management research line for 2027 appeared. No non-business IS-adjacent tenure-track line appeared either, for example from the College of Engineering &amp; Applied Sciences computer science department or a data-science unit. No non-research IS/analytics lines (lecturer, faculty specialist) were seen. Recommendation: check wmujobs.org directly, filtered to Faculty and Haworth. A Fall 2027 BIS line may not be posted yet, and WMU often posts in late fall or winter. | JOB-BOARD SWEEP (shared with paired school): found 1 new. I ran one extended WebSearch on Oct 15, 2026. Query: ("Oakland University" OR "Western Michigan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jobs.oakland.edu, wmujobs.org. The search engine dropped the boolean operators | IS-FOCUSED SWEEP (shared with 3 schools): found 0 new. I ran one extended WebSearch across all 4 schools using IS, MIS, analytics and decision-sciences terms, limited to aisnet.org, higheredjobs.com, chronicle.com, insidehighered.com, academickeys.com, informs.org, linkedin.com and indeed.com. It found no new current-cycle research-faculty posting in IS or analytics at any of the four schools. The only matching posting was Western Michigan University's "Assistant Professor - Business Information Systems - Tenure Track" at Haworth College of Business</t>
  </si>
  <si>
    <t xml:space="preserve">Found 3 new research posting(s). 1 search(es). I ran one extended WebSearch with no domain restriction: "Wichita State University" Barton School of Business tenure-track assistant professor position Fall 2027. Round 1 had searched only wichita.edu and found nothing. This search surfaced copies of Barton School postings on job boards (Chronicle, AAA Career Center, INFORMS Connect, archyde) plus the jobs.wichita.edu faculty search page. I am reporting three current-cycle research lines (Fall/August 2027 start), all scored 0 because none is in the candidate's field: (1) Assistant Professor of Economics, tenure-track, Fall 2027; ABD applicants accepted if the degree is finished by June 2027. (2) Assistant Professor of Accounting, tenure-track, School of Accountancy, start August 8, 2027, salary listed at $170,000/yr. (3) Assistant Professor of Real Estate, tenure-track, Department of Finance, Real Estate, and Decision Sciences, August 2027 start, 2/2 load. No application deadline appeared for any of the three, so the candidate should check open status on jobs.wichita.edu. EXCLUDED: (a) an Accounting posting open at Assistant or Associate rank (likely the AAA Career Center copy titled 'Assistant/Associate/Full Professor', careercenter.aaahq.org/job/258911), with the same August 8, 2027 start; its listed closing date is Sep 22, 2026, before today, so I treated it as closed. It may duplicate the Chronicle Assistant Professor of Accounting line reported here, which is why that line has low confidence. (b) 'Wichita State University Assistant Professor of Business Analytics' on INFORMS Connect: the search summary describes it as a 2022 posting, so it is a prior cycle and excluded. Notably, no 2027-cycle Business Analytics, Decision Sciences or IS line showed up. (c) Senior Educator in Economics (non-tenure-track teaching role, Fall 2027, emphasizes applied learning and industry engagement): a non-research line, excluded. (d) 'Tenure-track Assistant Professor' at Wichita State on ScienceCareers (jobs.sciencecareers.org/job/680577): the department was not shown and is presumably a science unit, not business or IS-adjacent, so excluded. I did not see any IS, MIS, analytics, OM/SCM, or iSchool or computing tenure-track line for the 2027 cycle. I also saw no visa-sponsorship wording. | JOB-BOARD SWEEP (shared with paired school): found 1 new. I ran one extended WebSearch: ("Wichita State University" OR "Louisiana Tech University") assistant professor tenure-track ("information systems" OR analytics OR "data science" OR "supply chain" OR operations OR "management science" OR "business analytics") 2027. Allowed domains were higheredjobs.com, chronicle.com, insidehighered.com, academickeys.com, linkedin.com, indeed.com, aisnet.org, informs.org, jobs.wichita.edu, wichita.edu and latech.edu. Results came back as: jobs.wichita.edu (main ca | IS-FOCUSED SWEEP (shared with 3 schools): found 0 new. I ran one extended WebSearch, as the budget allowed, limited to aisnet.org, higheredjobs.com, chronicle.com, insidehighered.com, academickeys.com, informs.org, linkedin.com and indeed.com. The query covered all four schools together: ("Illinois Institute of Technology" OR "Northern Illinois University" OR "Wichita State University" OR "Louisiana Tech University") ("information systems" OR "MIS" OR "business analytics" OR "data analytics" OR "information technology" OR "decision sciences") assist</t>
  </si>
  <si>
    <t xml:space="preserve">Found 1 new research posting(s). 1 search(es). One extended WebSearch: "Wright State University" Raj Soin College of Business assistant professor tenure-track faculty position 2027. Results: jobs.wright.edu applicant-portal pages (postings 20759, 20916, 22763 and search listings; the result text did not show what any of them is for, so none is reported on its own), a jobleads.com copy and an academiccareers.com listing (job 178060) for a tenure-track Assistant/Associate Professor of Accounting in the Raj Soin College of Business, plus Faculty Senate and policy PDFs and Wikipedia. One business research line qualifies: Accounting, which one listing shows closing Oct 16, 2026 (one day after today). The candidate has no CPA and no accounting PhD, so its fit is 0. Excluded: (1) a Finance tenure-track Assistant/Associate Professor posting about 500 days old, which is a prior cycle and presumed closed; (2) an Assistant Professor posting from the School of Supply Chain Management, Marketing and Management about 556 days old, also a prior cycle and presumed closed; (3) an Assistant Professor of Public Administration (School of Social Sciences and International Studies, start August 2027) and a Chemistry search (start August 1, 2027). Both are current-cycle but outside business and IS-adjacent units. The results showed no MIS, business analytics, IS-adjacent computing/informatics or data-science tenure-track line, and no notable IS or analytics lecturer or clinical line. The already-known AY 2026-27 SCM/Marketing/Management adjunct pool is not repeated. Neither visa sponsorship nor industry-experience wording appeared in any result. | JOB-BOARD SWEEP (shared with paired school): found 0 new. I ran one extended WebSearch: ("University of Akron" OR "Wright State University") assistant professor tenure-track ("information systems" OR analytics OR "data science" OR "supply chain" OR operations OR "management science" OR "business analytics") 2027. It was limited to higheredjobs.com, chronicle.com, insidehighered.com, academickeys.com, linkedin.com, indeed.com, aisnet.org, informs.org, jobs.wright.edu and uakron.wd1.myworkdayjobs.com. It returned 10 results. None is a current-cycle resea | IS-FOCUSED SWEEP (shared with 3 schools): found 0 new. I ran one extended WebSearch, limited to aisnet.org, higheredjobs.com, chronicle.com, insidehighered.com, academickeys.com, informs.org, linkedin.com and indeed.com. It combined all four schools with IS, MIS, business analytics, data analytics, IT and decision sciences terms plus "assistant professor tenure-track 2027". None of the results showed a current-cycle tenure-track or tenured IS, analytics, OM/SCM or management-science posting at AFIT, Cleveland State (Monte Ahuja College of Business),</t>
  </si>
  <si>
    <t xml:space="preserve">Yeshiva University</t>
  </si>
  <si>
    <t xml:space="preserve">Found 0 new research posting(s). 1 search(es). This round used one extended WebSearch with no domain restriction, unlike round 1, which was limited to yu.edu, Interfolio and Workday. The query was: "Yeshiva University" Sy Syms School of Business tenure-track assistant professor faculty position 2027. It returned no current-cycle research faculty posting at Sy Syms in any business field, and no IS-adjacent tenure-track line elsewhere at YU. Results came from three kinds of source. (1) Faculty directory and catalog pages: online.yu.edu/syms/mba/student-experience/faculty, online.yu.edu/syms/faculty, the 2025-2026 smartcatalogiq faculty list, which shows current Assistant Professors such as Shirly Bluvstein and Andreas Christopoulos (Finance and Real Estate), and the yu.edu/syms Strategy &amp; Entrepreneurship faculty page. (2) A globalEDGE (MSU) listing for an old Sy Syms tenure-track assistant/associate search with a preference for Strategy and Entrepreneurship and a start date of September 1, 2020. That is a prior cycle and is long closed, so it is excluded. (3) A YU news item from about early September 2026 on new faculty joining Sy Syms. It mentions a clinical assistant professor of marketing, which is a non-tenure-track hire already made rather than an open posting, so it is excluded. The Indeed and Glassdoor company pages (glassdoor shows '28 Open Positions') list mostly adjunct roles and an associate dean position with possible tenure consideration. These are excluded as adjunct or administrative, not research lines. I saw no IS or analytics line of any kind, research or non-research, at Sy Syms. I also saw no YU Interfolio or Workday faculty listing. Conclusion: no qualifying open research lines at Yeshiva University as of 2026-10-15. The candidate could check yu.edu/syms and YU's careers portal directly later in the cycle. | JOB-BOARD SWEEP (shared with paired school): found 0 new. I ran one extended WebSearch: ("Rochester Institute of Technology" OR "Yeshiva University") assistant professor tenure-track ("information systems" OR analytics OR "data science" OR "supply chain" OR operations OR "management science" OR "business analytics") 2027. Allowed domains: higheredjobs.com, chronicle.com, insidehighered.com, academickeys.com, linkedin.com, indeed.com, aisnet.org, informs.org, careers.rit.edu, yu.edu.
Ten links came back: an INFORMS Career Center 'Faculty Member Jobs' p | IS-FOCUSED SWEEP (shared with 3 schools): found 0 new. I ran one extended WebSearch, limited to aisnet.org, higheredjobs.com, chronicle.com, insidehighered.com, academickeys.com, informs.org, linkedin.com and indeed.com. It combined all 4 school names with IS, MIS, business analytics, data analytics, IT and decision sciences terms, plus "assistant professor tenure-track 2027". None of the results was a current-cycle tenure-track or tenured research faculty line in IS, analytics, decision sciences, OM/SCM or management science at these 4 schools, so </t>
  </si>
</sst>
</file>

<file path=xl/styles.xml><?xml version="1.0" encoding="utf-8"?>
<styleSheet xmlns="http://schemas.openxmlformats.org/spreadsheetml/2006/main">
  <numFmts count="3">
    <numFmt numFmtId="164" formatCode="General"/>
    <numFmt numFmtId="165" formatCode="General"/>
    <numFmt numFmtId="166" formatCode="yyyy\-mm\-dd"/>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sz val="9"/>
      <name val="Arial"/>
      <family val="0"/>
      <charset val="1"/>
    </font>
    <font>
      <b val="true"/>
      <sz val="10"/>
      <name val="Arial"/>
      <family val="0"/>
      <charset val="1"/>
    </font>
    <font>
      <b val="true"/>
      <sz val="10"/>
      <color rgb="FFFFFFFF"/>
      <name val="Arial"/>
      <family val="0"/>
      <charset val="1"/>
    </font>
    <font>
      <b val="true"/>
      <sz val="9"/>
      <name val="Arial"/>
      <family val="0"/>
      <charset val="1"/>
    </font>
    <font>
      <u val="single"/>
      <sz val="9"/>
      <color rgb="FF0563C1"/>
      <name val="Arial"/>
      <family val="0"/>
      <charset val="1"/>
    </font>
  </fonts>
  <fills count="15">
    <fill>
      <patternFill patternType="none"/>
    </fill>
    <fill>
      <patternFill patternType="gray125"/>
    </fill>
    <fill>
      <patternFill patternType="solid">
        <fgColor rgb="FF1F3864"/>
        <bgColor rgb="FF333333"/>
      </patternFill>
    </fill>
    <fill>
      <patternFill patternType="solid">
        <fgColor rgb="FFD9D9D9"/>
        <bgColor rgb="FFC6E0B4"/>
      </patternFill>
    </fill>
    <fill>
      <patternFill patternType="solid">
        <fgColor rgb="FFA9D08E"/>
        <bgColor rgb="FFC6E0B4"/>
      </patternFill>
    </fill>
    <fill>
      <patternFill patternType="solid">
        <fgColor rgb="FFEDEDED"/>
        <bgColor rgb="FFE2EFDA"/>
      </patternFill>
    </fill>
    <fill>
      <patternFill patternType="solid">
        <fgColor rgb="FFFFD966"/>
        <bgColor rgb="FFF8CBAD"/>
      </patternFill>
    </fill>
    <fill>
      <patternFill patternType="solid">
        <fgColor rgb="FFE2EFDA"/>
        <bgColor rgb="FFEDEDED"/>
      </patternFill>
    </fill>
    <fill>
      <patternFill patternType="solid">
        <fgColor rgb="FFC6E0B4"/>
        <bgColor rgb="FFD9D9D9"/>
      </patternFill>
    </fill>
    <fill>
      <patternFill patternType="solid">
        <fgColor rgb="FFF4B183"/>
        <bgColor rgb="FFF8CBAD"/>
      </patternFill>
    </fill>
    <fill>
      <patternFill patternType="solid">
        <fgColor rgb="FFFFF2CC"/>
        <bgColor rgb="FFFCE4D6"/>
      </patternFill>
    </fill>
    <fill>
      <patternFill patternType="solid">
        <fgColor rgb="FFFF7C80"/>
        <bgColor rgb="FFF4B183"/>
      </patternFill>
    </fill>
    <fill>
      <patternFill patternType="solid">
        <fgColor rgb="FFFCE4D6"/>
        <bgColor rgb="FFFFF2CC"/>
      </patternFill>
    </fill>
    <fill>
      <patternFill patternType="solid">
        <fgColor rgb="FFF8CBAD"/>
        <bgColor rgb="FFFCE4D6"/>
      </patternFill>
    </fill>
    <fill>
      <patternFill patternType="solid">
        <fgColor rgb="FFBFBFBF"/>
        <bgColor rgb="FFA9D08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fals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false" indent="0" shrinkToFit="false"/>
      <protection locked="true" hidden="false"/>
    </xf>
    <xf numFmtId="164" fontId="10" fillId="11" borderId="1" xfId="0" applyFont="true" applyBorder="true" applyAlignment="true" applyProtection="false">
      <alignment horizontal="general" vertical="top" textRotation="0" wrapText="true" indent="0" shrinkToFit="false"/>
      <protection locked="true" hidden="false"/>
    </xf>
    <xf numFmtId="164" fontId="10" fillId="12"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10" fillId="1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1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F4B183"/>
          <bgColor rgb="FF000000"/>
        </patternFill>
      </fill>
    </dxf>
    <dxf>
      <fill>
        <patternFill patternType="solid">
          <fgColor rgb="FFFF7C80"/>
          <bgColor rgb="FF000000"/>
        </patternFill>
      </fill>
    </dxf>
    <dxf>
      <fill>
        <patternFill patternType="solid">
          <fgColor rgb="FFFFD966"/>
          <bgColor rgb="FF000000"/>
        </patternFill>
      </fill>
    </dxf>
    <dxf>
      <fill>
        <patternFill patternType="solid">
          <fgColor rgb="FFFFFFFF"/>
          <bgColor rgb="FF000000"/>
        </patternFill>
      </fill>
    </dxf>
    <dxf>
      <fill>
        <patternFill patternType="solid">
          <bgColor rgb="FF000000"/>
        </patternFill>
      </fill>
    </dxf>
    <dxf>
      <fill>
        <patternFill patternType="solid">
          <fgColor rgb="FFA9D08E"/>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0563C1"/>
          <bgColor rgb="FF000000"/>
        </patternFill>
      </fill>
    </dxf>
    <dxf>
      <fill>
        <patternFill patternType="solid">
          <fgColor rgb="FFBFBFB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EDEDED"/>
      <rgbColor rgb="FF660066"/>
      <rgbColor rgb="FFFF7C80"/>
      <rgbColor rgb="FF0563C1"/>
      <rgbColor rgb="FFD9D9D9"/>
      <rgbColor rgb="FF000080"/>
      <rgbColor rgb="FFFF00FF"/>
      <rgbColor rgb="FFFFFF00"/>
      <rgbColor rgb="FF00FFFF"/>
      <rgbColor rgb="FF800080"/>
      <rgbColor rgb="FF800000"/>
      <rgbColor rgb="FF008080"/>
      <rgbColor rgb="FF0000FF"/>
      <rgbColor rgb="FF00CCFF"/>
      <rgbColor rgb="FFC6E0B4"/>
      <rgbColor rgb="FFE2EFDA"/>
      <rgbColor rgb="FFFCE4D6"/>
      <rgbColor rgb="FFA9D08E"/>
      <rgbColor rgb="FFF4B183"/>
      <rgbColor rgb="FFCC99FF"/>
      <rgbColor rgb="FFF8CBAD"/>
      <rgbColor rgb="FF3366FF"/>
      <rgbColor rgb="FF33CCCC"/>
      <rgbColor rgb="FF99CC00"/>
      <rgbColor rgb="FFFFD96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csucareers.calstate.edu/en-us/job/559681/assistant-professor-of-information-systems-2-open-positions" TargetMode="External"/><Relationship Id="rId2" Type="http://schemas.openxmlformats.org/officeDocument/2006/relationships/hyperlink" Target="https://hofstra.peopleadmin.com/postings/7620" TargetMode="External"/><Relationship Id="rId3" Type="http://schemas.openxmlformats.org/officeDocument/2006/relationships/hyperlink" Target="https://careers.hprod.onehcm.usg.edu/psc/careers/CAREERS/HRMS/c/HRS_HRAM_FL.HRS_CG_SEARCH_FL.GBL?Page=HRS_APP_JBPST_FL&amp;Action=U&amp;FOCUS=Applicant&amp;SiteId=43000&amp;JobOpeningId=300876&amp;PostingSeq=1" TargetMode="External"/><Relationship Id="rId4" Type="http://schemas.openxmlformats.org/officeDocument/2006/relationships/hyperlink" Target="https://careers.cpp.edu/po/en-us/job/558301/computer-information-systems-assistant-professor" TargetMode="External"/><Relationship Id="rId5" Type="http://schemas.openxmlformats.org/officeDocument/2006/relationships/hyperlink" Target="https://miamioh.wd5.myworkdayjobs.com/en-US/miamioh-faculty/job/Assistant-or-Associate-Professor---Information-Systems_JR104290" TargetMode="External"/><Relationship Id="rId6" Type="http://schemas.openxmlformats.org/officeDocument/2006/relationships/hyperlink" Target="https://jobs.sjsu.edu/en-us/job/562131/assistant-professor-school-of-information-systems-technology?1ApplicationSubSourceID=11266" TargetMode="External"/><Relationship Id="rId7" Type="http://schemas.openxmlformats.org/officeDocument/2006/relationships/hyperlink" Target="https://utulsa.edu/departments/accounting-business-information-systems/" TargetMode="External"/><Relationship Id="rId8" Type="http://schemas.openxmlformats.org/officeDocument/2006/relationships/hyperlink" Target="https://miamioh.wd5.myworkdayjobs.com/en-US/miamioh-faculty/job/Farmer-School-of-Business/Assistant-Professor_JR104289" TargetMode="External"/><Relationship Id="rId9" Type="http://schemas.openxmlformats.org/officeDocument/2006/relationships/hyperlink" Target="https://www.udiversity.com/posting/7276573" TargetMode="External"/><Relationship Id="rId10" Type="http://schemas.openxmlformats.org/officeDocument/2006/relationships/hyperlink" Target="https://www.sorce.jobs/jobs/information-systems-open-rank-tenure-track-or-college-faculty-acu-j1_dNadE8uIFSnXonoZpzLAelS3rzKqz2sjwpBl_DwxOmev1iGrFQ" TargetMode="External"/><Relationship Id="rId11" Type="http://schemas.openxmlformats.org/officeDocument/2006/relationships/hyperlink" Target="https://jobs.chronicle.com/job/38027818/lowe-s-tech-distinguished-professor-and-program-director-in-cybersecurity/" TargetMode="External"/><Relationship Id="rId12" Type="http://schemas.openxmlformats.org/officeDocument/2006/relationships/hyperlink" Target="https://jobs.chronicle.com/job/38043081/assistant-professor-of-information-systems-and-operations-management/" TargetMode="External"/><Relationship Id="rId13" Type="http://schemas.openxmlformats.org/officeDocument/2006/relationships/hyperlink" Target="https://jobs.chronicle.com/job/38045010/assistant-professor-of-management-science-tenure-track-fall-2027/" TargetMode="External"/><Relationship Id="rId14" Type="http://schemas.openxmlformats.org/officeDocument/2006/relationships/hyperlink" Target="https://home.hamptonu.edu/hr/2026/05/29/management-information-systems-mis-professor-department-of-business-administration-and-accounting/" TargetMode="External"/><Relationship Id="rId15" Type="http://schemas.openxmlformats.org/officeDocument/2006/relationships/hyperlink" Target="https://jobs.chronicle.com/job/38045022/assistant-associate-professor-business-information-systems-and-analytics/" TargetMode="External"/><Relationship Id="rId16" Type="http://schemas.openxmlformats.org/officeDocument/2006/relationships/hyperlink" Target="https://jobs.tsu.edu/postings/11719" TargetMode="External"/><Relationship Id="rId17" Type="http://schemas.openxmlformats.org/officeDocument/2006/relationships/hyperlink" Target="https://www.disabledperson.com/jobs/75493209-tenure-track-faculty-management-information-systems" TargetMode="External"/><Relationship Id="rId18" Type="http://schemas.openxmlformats.org/officeDocument/2006/relationships/hyperlink" Target="https://www.wmujobs.org/postings/3819" TargetMode="External"/><Relationship Id="rId19" Type="http://schemas.openxmlformats.org/officeDocument/2006/relationships/hyperlink" Target="https://getmereferred.com/job-listing/assistant-associate-professor-of-business-analytics-illinois-tech-mumbai-campus-emeritus-mumbai-10-to-18-years-experience-293a27f9-b38a-4122-a1f2-30227cbfaacb" TargetMode="External"/><Relationship Id="rId20" Type="http://schemas.openxmlformats.org/officeDocument/2006/relationships/hyperlink" Target="https://careers.hprod.onehcm.usg.edu/psc/careers/CAREERS/HRMS/c/HRS_HRAM_FL.HRS_CG_SEARCH_FL.GBL?Page=HRS_APP_JBPST_FL&amp;Action=U&amp;FOCUS=Applicant&amp;SiteId=12000&amp;JobOpeningId=290816&amp;PostingSeq=1" TargetMode="External"/><Relationship Id="rId21" Type="http://schemas.openxmlformats.org/officeDocument/2006/relationships/hyperlink" Target="https://www.higheredjobs.com/faculty/details.cfm?JobCode=179415581" TargetMode="External"/><Relationship Id="rId22" Type="http://schemas.openxmlformats.org/officeDocument/2006/relationships/hyperlink" Target="https://jobs.chronicle.com/job/38022740/tenure-track-faculty-accounting-and-information-systems/" TargetMode="External"/><Relationship Id="rId23" Type="http://schemas.openxmlformats.org/officeDocument/2006/relationships/hyperlink" Target="https://www.astate.edu/college/business/faculty-staff/management-marketing/" TargetMode="External"/><Relationship Id="rId24" Type="http://schemas.openxmlformats.org/officeDocument/2006/relationships/hyperlink" Target="https://www.bgsu.edu/business/faculty-and-staff/job-opportunities.html" TargetMode="External"/><Relationship Id="rId25" Type="http://schemas.openxmlformats.org/officeDocument/2006/relationships/hyperlink" Target="https://jobs.chronicle.com/job/38031656/assistant-professor-tenure-track-accounting-and-information-systems/?TrackID=10" TargetMode="External"/><Relationship Id="rId26" Type="http://schemas.openxmlformats.org/officeDocument/2006/relationships/hyperlink" Target="https://tamus.wd1.myworkdayjobs.com/System-wide_External" TargetMode="External"/><Relationship Id="rId27" Type="http://schemas.openxmlformats.org/officeDocument/2006/relationships/hyperlink" Target="https://jobs.chronicle.com/job/37980105/tenure-track-faculty-position-with-a-focus-on-big-data-analytics-and-aviation-safety-in-the-school/" TargetMode="External"/><Relationship Id="rId28" Type="http://schemas.openxmlformats.org/officeDocument/2006/relationships/hyperlink" Target="https://www.higheredjobs.com/institution/search.cfm?University=Tennessee+Tech+University" TargetMode="External"/><Relationship Id="rId29" Type="http://schemas.openxmlformats.org/officeDocument/2006/relationships/hyperlink" Target="https://careers.insidehighered.com/job/3557057/assistant-professor-school-of-information-ethical-ai-information-generation-and-retrieval-a-/" TargetMode="External"/><Relationship Id="rId30" Type="http://schemas.openxmlformats.org/officeDocument/2006/relationships/hyperlink" Target="https://jobs.chronicle.com/job/38038907/assistant-professor-marketing-and-business-analytics-business-analytics/" TargetMode="External"/><Relationship Id="rId31" Type="http://schemas.openxmlformats.org/officeDocument/2006/relationships/hyperlink" Target="https://csucareers.calstate.edu/en-us/job/559626/assistant-professor-of-marketing" TargetMode="External"/><Relationship Id="rId32" Type="http://schemas.openxmlformats.org/officeDocument/2006/relationships/hyperlink" Target="https://www.higheredjobs.com/faculty/details.cfm?JobCode=179544672" TargetMode="External"/><Relationship Id="rId33" Type="http://schemas.openxmlformats.org/officeDocument/2006/relationships/hyperlink" Target="https://jobs.chronicle.com/job/37980193/tenure-track-faculty-position-with-a-focus-on-aviation-operations-and-machine-learning-ai-in-the/" TargetMode="External"/><Relationship Id="rId34" Type="http://schemas.openxmlformats.org/officeDocument/2006/relationships/hyperlink" Target="https://www.iit.edu/computer-science/employment/tenuredtenure-track-faculty" TargetMode="External"/><Relationship Id="rId35" Type="http://schemas.openxmlformats.org/officeDocument/2006/relationships/hyperlink" Target="https://marshall.peopleadmin.com/postings/32608" TargetMode="External"/><Relationship Id="rId36" Type="http://schemas.openxmlformats.org/officeDocument/2006/relationships/hyperlink" Target="https://montclair.wd1.myworkdayjobs.com/en-US/JobOpportunities/job/Assistant-Professor--Management_R1005054" TargetMode="External"/><Relationship Id="rId37" Type="http://schemas.openxmlformats.org/officeDocument/2006/relationships/hyperlink" Target="https://www.academicjobs.com/en-us/higher-education-news/oakland-university-jobs-2026-faculty-staff-openings-15490" TargetMode="External"/><Relationship Id="rId38" Type="http://schemas.openxmlformats.org/officeDocument/2006/relationships/hyperlink" Target="https://careercenter.informs.org/q-faculty-member-jobs.html" TargetMode="External"/><Relationship Id="rId39" Type="http://schemas.openxmlformats.org/officeDocument/2006/relationships/hyperlink" Target="https://jobs.hr.txstate.edu/postings/57536" TargetMode="External"/><Relationship Id="rId40" Type="http://schemas.openxmlformats.org/officeDocument/2006/relationships/hyperlink" Target="https://www.umsl.edu/business/departments/supply-chain/index.html" TargetMode="External"/><Relationship Id="rId41" Type="http://schemas.openxmlformats.org/officeDocument/2006/relationships/hyperlink" Target="https://spartantalent.uncg.edu/postings/35431" TargetMode="External"/><Relationship Id="rId42" Type="http://schemas.openxmlformats.org/officeDocument/2006/relationships/hyperlink" Target="https://www.higheredjobs.com/details.cfm?JobCode=179287305" TargetMode="External"/><Relationship Id="rId43" Type="http://schemas.openxmlformats.org/officeDocument/2006/relationships/hyperlink" Target="https://careers.insidehighered.com/job/3550748/assistant-professor-marketing/?TrackID=11" TargetMode="External"/><Relationship Id="rId44" Type="http://schemas.openxmlformats.org/officeDocument/2006/relationships/hyperlink" Target="https://jobs.villanova.edu/postings/36537" TargetMode="External"/><Relationship Id="rId45" Type="http://schemas.openxmlformats.org/officeDocument/2006/relationships/hyperlink" Target="https://careers.insidehighered.com/job/3557055/assistant-professor-school-of-information-youth-information-ecosystems-critical-technology-/" TargetMode="External"/><Relationship Id="rId46" Type="http://schemas.openxmlformats.org/officeDocument/2006/relationships/hyperlink" Target="https://www.higheredjobs.com/faculty/details.cfm?JobCode=179434448" TargetMode="External"/><Relationship Id="rId47" Type="http://schemas.openxmlformats.org/officeDocument/2006/relationships/hyperlink" Target="https://employment.marquette.edu/postings/25176" TargetMode="External"/><Relationship Id="rId48" Type="http://schemas.openxmlformats.org/officeDocument/2006/relationships/hyperlink" Target="https://www.indeed.com/q-assistant-professors-l-fairbanks,-ak-jobs.html" TargetMode="External"/><Relationship Id="rId49" Type="http://schemas.openxmlformats.org/officeDocument/2006/relationships/hyperlink" Target="https://uasys.wd5.myworkdayjobs.com/UASYS" TargetMode="External"/><Relationship Id="rId50" Type="http://schemas.openxmlformats.org/officeDocument/2006/relationships/hyperlink" Target="https://careers.conbio.org/job/1317340/assistant-professor-of-business-economics/?TrackID=9" TargetMode="External"/><Relationship Id="rId5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hispanicoutlookjobs.com/job/8420/assistant-professor-tenure-track-management-entrepreneurship-27-28/" TargetMode="External"/><Relationship Id="rId2" Type="http://schemas.openxmlformats.org/officeDocument/2006/relationships/hyperlink" Target="https://jobs.chronicle.com/employer/3b4a6e45-b584-456e-8b42-5d7ef99a34a6/wake-forest-university/hub/jobs" TargetMode="External"/><Relationship Id="rId3" Type="http://schemas.openxmlformats.org/officeDocument/2006/relationships/hyperlink" Target="https://academiccareers.com/job/178060/assistant-professor-associate-professor/" TargetMode="External"/><Relationship Id="rId4" Type="http://schemas.openxmlformats.org/officeDocument/2006/relationships/hyperlink" Target="https://yourfuture.sdbor.edu/postings/49810" TargetMode="External"/><Relationship Id="rId5" Type="http://schemas.openxmlformats.org/officeDocument/2006/relationships/hyperlink" Target="https://unomaha.peopleadmin.com/postings/25782" TargetMode="External"/><Relationship Id="rId6" Type="http://schemas.openxmlformats.org/officeDocument/2006/relationships/hyperlink" Target="https://uakron.wd1.myworkdayjobs.com/UACareers/job/Akron-Ohio/Associate-Professor--Accounting_JR103021-1" TargetMode="External"/><Relationship Id="rId7" Type="http://schemas.openxmlformats.org/officeDocument/2006/relationships/hyperlink" Target="https://jobs.sandiego.edu/jobs/assistant-professor-of-accounting-san-diego-california-united-states" TargetMode="External"/><Relationship Id="rId8" Type="http://schemas.openxmlformats.org/officeDocument/2006/relationships/hyperlink" Target="https://jobs.sandiego.edu/cw/en-us/Search/?search-keyword=&amp;category=faculty&amp;subscribe=true" TargetMode="External"/><Relationship Id="rId9" Type="http://schemas.openxmlformats.org/officeDocument/2006/relationships/hyperlink" Target="https://careers.fresnostate.edu/" TargetMode="External"/><Relationship Id="rId10" Type="http://schemas.openxmlformats.org/officeDocument/2006/relationships/hyperlink" Target="https://jobs.silkroad.com/APU/FacultyJobs/jobs/4609" TargetMode="External"/><Relationship Id="rId11" Type="http://schemas.openxmlformats.org/officeDocument/2006/relationships/hyperlink" Target="https://careers.cfainstitute.org/profile/creighton-university/1332659/?srd=u" TargetMode="External"/><Relationship Id="rId12" Type="http://schemas.openxmlformats.org/officeDocument/2006/relationships/hyperlink" Target="https://hispanicoutlookjobs.com/job/8414/assistant-professor-tenure-track-marketing-27-28/" TargetMode="External"/><Relationship Id="rId13" Type="http://schemas.openxmlformats.org/officeDocument/2006/relationships/hyperlink" Target="https://www.higheredjobs.com/institution/search.cfm?aID=2508" TargetMode="External"/><Relationship Id="rId14" Type="http://schemas.openxmlformats.org/officeDocument/2006/relationships/hyperlink" Target="https://www.fordham.edu/gabelli-school-of-business/faculty/prospective-faculty/" TargetMode="External"/><Relationship Id="rId15" Type="http://schemas.openxmlformats.org/officeDocument/2006/relationships/hyperlink" Target="https://jobs.fma.org/jobs/state/georgia/" TargetMode="External"/><Relationship Id="rId16" Type="http://schemas.openxmlformats.org/officeDocument/2006/relationships/hyperlink" Target="https://jobsearch.illinoisstate.edu/jobs/assistant-professor-of-marketing-normal-illinois-illinois-united-states-a49dff05-3130-41cf-acfc-7b244b9a3099" TargetMode="External"/><Relationship Id="rId17" Type="http://schemas.openxmlformats.org/officeDocument/2006/relationships/hyperlink" Target="https://www.indeed.com/q-Jackson-State-University-jobs.html" TargetMode="External"/><Relationship Id="rId18" Type="http://schemas.openxmlformats.org/officeDocument/2006/relationships/hyperlink" Target="https://www.indeed.com/q-Jackson-State-University-jobs.html" TargetMode="External"/><Relationship Id="rId19" Type="http://schemas.openxmlformats.org/officeDocument/2006/relationships/hyperlink" Target="https://jobs.jmu.edu/jobs/assistant-professor-entrepreneurship-and-or-strategic-management-department-of-management-harrisonburg-virginia-united-states" TargetMode="External"/><Relationship Id="rId20" Type="http://schemas.openxmlformats.org/officeDocument/2006/relationships/hyperlink" Target="https://www.higheredjobs.com/faculty/details.cfm?JobCode=179489839" TargetMode="External"/><Relationship Id="rId21" Type="http://schemas.openxmlformats.org/officeDocument/2006/relationships/hyperlink" Target="https://marshall.peopleadmin.com/postings/32608" TargetMode="External"/><Relationship Id="rId22" Type="http://schemas.openxmlformats.org/officeDocument/2006/relationships/hyperlink" Target="https://www.jobleads.com/us/job/tenure-track-accounting-professor-research-teaching-online--portland--e9ebd94100195c08eac87f7d15845a1ce" TargetMode="External"/><Relationship Id="rId23" Type="http://schemas.openxmlformats.org/officeDocument/2006/relationships/hyperlink" Target="https://jobs.rutgers.edu/postings/281993" TargetMode="External"/><Relationship Id="rId24" Type="http://schemas.openxmlformats.org/officeDocument/2006/relationships/hyperlink" Target="https://sju.wd1.myworkdayjobs.com/en-US/SJU/job/Assistant-Professor--Management_JR101164" TargetMode="External"/><Relationship Id="rId25" Type="http://schemas.openxmlformats.org/officeDocument/2006/relationships/hyperlink" Target="https://jobs.chronicle.com/job/38043473/assistant-professor-of-computer-science/" TargetMode="External"/><Relationship Id="rId26" Type="http://schemas.openxmlformats.org/officeDocument/2006/relationships/hyperlink" Target="https://careers.scsu.edu/en/listing/?page=2&amp;page-items=20" TargetMode="External"/><Relationship Id="rId27" Type="http://schemas.openxmlformats.org/officeDocument/2006/relationships/hyperlink" Target="https://jobs.chronicle.com/job/38033422/assistant-professor-tenure-track-of-accounting/?TrackID=10" TargetMode="External"/><Relationship Id="rId28" Type="http://schemas.openxmlformats.org/officeDocument/2006/relationships/hyperlink" Target="https://tamus.wd1.myworkdayjobs.com/en-US/System-wide_External/job/Assistant-Professor-Tenure-Track-of-Real-Estate_R-093884-1" TargetMode="External"/><Relationship Id="rId29" Type="http://schemas.openxmlformats.org/officeDocument/2006/relationships/hyperlink" Target="https://jobs.tcu.edu/jobs/assistant-professor-of-management-tcu-main-campus-texas-united-states" TargetMode="External"/><Relationship Id="rId30" Type="http://schemas.openxmlformats.org/officeDocument/2006/relationships/hyperlink" Target="https://www.higheredjobs.com/details.cfm?JobCode=179382837" TargetMode="External"/><Relationship Id="rId31" Type="http://schemas.openxmlformats.org/officeDocument/2006/relationships/hyperlink" Target="https://www.uprm.edu/empleos/en/" TargetMode="External"/><Relationship Id="rId32" Type="http://schemas.openxmlformats.org/officeDocument/2006/relationships/hyperlink" Target="https://jobs.sandiego.edu/cw/en-us/Search/?search-keyword=&amp;category=faculty&amp;subscribe=true" TargetMode="External"/><Relationship Id="rId33" Type="http://schemas.openxmlformats.org/officeDocument/2006/relationships/hyperlink" Target="https://careers.uwf.edu/jobs/search/all-faculty" TargetMode="External"/><Relationship Id="rId34" Type="http://schemas.openxmlformats.org/officeDocument/2006/relationships/hyperlink" Target="https://careers.uwf.edu/jobs/search/all-faculty" TargetMode="External"/><Relationship Id="rId35" Type="http://schemas.openxmlformats.org/officeDocument/2006/relationships/hyperlink" Target="https://jobs.chronicle.com/employer/3b4a6e45-b584-456e-8b42-5d7ef99a34a6/wake-forest-university/hub/jobs" TargetMode="External"/><Relationship Id="rId36" Type="http://schemas.openxmlformats.org/officeDocument/2006/relationships/hyperlink" Target="https://jobs.chronicle.com/job/38027873/tenure-track-positions-fall-2027/" TargetMode="External"/><Relationship Id="rId37" Type="http://schemas.openxmlformats.org/officeDocument/2006/relationships/hyperlink" Target="https://www.wmujobs.org/postings/5013" TargetMode="External"/><Relationship Id="rId38" Type="http://schemas.openxmlformats.org/officeDocument/2006/relationships/hyperlink" Target="https://jobs.chronicle.com/job/38045655/assistant-professor-of-economics/" TargetMode="External"/><Relationship Id="rId39" Type="http://schemas.openxmlformats.org/officeDocument/2006/relationships/hyperlink" Target="https://jobs.chronicle.com/job/38043131/assistant-professor-of-accounting/" TargetMode="External"/><Relationship Id="rId40" Type="http://schemas.openxmlformats.org/officeDocument/2006/relationships/hyperlink" Target="https://jobs.chronicle.com/job/38043137/assistant-professor-of-real-estate/" TargetMode="External"/><Relationship Id="rId41" Type="http://schemas.openxmlformats.org/officeDocument/2006/relationships/hyperlink" Target="https://jobs.wichita.edu/jobs/search/faculty-search" TargetMode="External"/><Relationship Id="rId42" Type="http://schemas.openxmlformats.org/officeDocument/2006/relationships/hyperlink" Target="https://www.higheredjobs.com/faculty/details.cfm?JobCode=179458351" TargetMode="External"/><Relationship Id="rId43" Type="http://schemas.openxmlformats.org/officeDocument/2006/relationships/hyperlink" Target="https://careers.uwf.edu/jobs/search/all-faculty" TargetMode="External"/><Relationship Id="rId44" Type="http://schemas.openxmlformats.org/officeDocument/2006/relationships/hyperlink" Target="https://careercenter.aaahq.org/job/269287/open-rank-tenure-track-faculty-position/?TrackID=9" TargetMode="External"/><Relationship Id="rId45" Type="http://schemas.openxmlformats.org/officeDocument/2006/relationships/hyperlink" Target="https://jobs.chronicle.com/job/38049875/assistant-associate-professor-of-management-college-of-business-3313-/" TargetMode="External"/><Relationship Id="rId46" Type="http://schemas.openxmlformats.org/officeDocument/2006/relationships/hyperlink" Target="https://jobs.hrc.pdx.edu/postings/50805" TargetMode="External"/><Relationship Id="rId47"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careers.mtsu.edu/en-us/job/498022/information-systems-and-analytics-tenuretrack-faculty" TargetMode="External"/><Relationship Id="rId2" Type="http://schemas.openxmlformats.org/officeDocument/2006/relationships/hyperlink" Target="https://jobs.chronicle.com/jobs/illinois/tenured-tenured-track/full-time/" TargetMode="External"/><Relationship Id="rId3" Type="http://schemas.openxmlformats.org/officeDocument/2006/relationships/hyperlink" Target="https://www.indeed.com/m/jobs?q=Information+Technology&amp;l=Georgia+Southern,+GA" TargetMode="External"/><Relationship Id="rId4" Type="http://schemas.openxmlformats.org/officeDocument/2006/relationships/hyperlink" Target="https://jobs.uncw.edu/postings/40434" TargetMode="External"/><Relationship Id="rId5"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90"/>
  </cols>
  <sheetData>
    <row r="1" customFormat="false" ht="17.35" hidden="false" customHeight="false" outlineLevel="0" collapsed="false">
      <c r="A1" s="1" t="s">
        <v>0</v>
      </c>
    </row>
    <row r="2" customFormat="false" ht="43.5" hidden="false" customHeight="true" outlineLevel="0" collapsed="false">
      <c r="A2" s="2" t="s">
        <v>1</v>
      </c>
      <c r="B2" s="2"/>
      <c r="C2" s="2"/>
    </row>
    <row r="4" customFormat="false" ht="15" hidden="false" customHeight="false" outlineLevel="0" collapsed="false">
      <c r="A4" s="3" t="s">
        <v>2</v>
      </c>
    </row>
    <row r="5" customFormat="false" ht="15" hidden="false" customHeight="false" outlineLevel="0" collapsed="false">
      <c r="A5" s="4" t="s">
        <v>3</v>
      </c>
      <c r="B5" s="5" t="n">
        <f aca="false">COUNTA('R2 Research (Fit 1-5)'!E2:E1000)</f>
        <v>50</v>
      </c>
    </row>
    <row r="6" customFormat="false" ht="15" hidden="false" customHeight="false" outlineLevel="0" collapsed="false">
      <c r="A6" s="4" t="s">
        <v>4</v>
      </c>
      <c r="B6" s="5" t="n">
        <f aca="false">COUNTIF('R2 Research (Fit 1-5)'!B2:B1000,5)</f>
        <v>18</v>
      </c>
    </row>
    <row r="7" customFormat="false" ht="15" hidden="false" customHeight="false" outlineLevel="0" collapsed="false">
      <c r="A7" s="4" t="s">
        <v>5</v>
      </c>
      <c r="B7" s="5" t="n">
        <f aca="false">COUNTIF('R2 Research (Fit 1-5)'!B2:B1000,4)</f>
        <v>7</v>
      </c>
    </row>
    <row r="8" customFormat="false" ht="15" hidden="false" customHeight="false" outlineLevel="0" collapsed="false">
      <c r="A8" s="4" t="s">
        <v>6</v>
      </c>
      <c r="B8" s="5" t="n">
        <f aca="false">COUNTIF('R2 Research (Fit 1-5)'!B2:B1000,3)</f>
        <v>4</v>
      </c>
    </row>
    <row r="9" customFormat="false" ht="15" hidden="false" customHeight="false" outlineLevel="0" collapsed="false">
      <c r="A9" s="4" t="s">
        <v>7</v>
      </c>
      <c r="B9" s="5" t="n">
        <f aca="false">COUNTIF('R2 Research (Fit 1-5)'!B2:B1000,2)</f>
        <v>16</v>
      </c>
    </row>
    <row r="10" customFormat="false" ht="15" hidden="false" customHeight="false" outlineLevel="0" collapsed="false">
      <c r="A10" s="4" t="s">
        <v>8</v>
      </c>
      <c r="B10" s="5" t="n">
        <f aca="false">COUNTIF('R2 Research (Fit 1-5)'!B2:B1000,1)</f>
        <v>5</v>
      </c>
    </row>
    <row r="11" customFormat="false" ht="15" hidden="false" customHeight="false" outlineLevel="0" collapsed="false">
      <c r="A11" s="4" t="s">
        <v>9</v>
      </c>
      <c r="B11" s="5" t="n">
        <f aca="false">COUNTA('R2 Research - Other Fields (0)'!E2:E1000)</f>
        <v>46</v>
      </c>
    </row>
    <row r="12" customFormat="false" ht="15" hidden="false" customHeight="false" outlineLevel="0" collapsed="false">
      <c r="A12" s="4" t="s">
        <v>10</v>
      </c>
      <c r="B12" s="5" t="n">
        <f aca="false">COUNTA('Closed or Not Current'!E2:E1000)</f>
        <v>4</v>
      </c>
    </row>
    <row r="13" customFormat="false" ht="15" hidden="false" customHeight="false" outlineLevel="0" collapsed="false">
      <c r="A13" s="4" t="s">
        <v>11</v>
      </c>
      <c r="B13" s="5" t="n">
        <f aca="false">COUNTIF('R2 Research (Fit 1-5)'!A2:A1000,"DONE*")</f>
        <v>7</v>
      </c>
    </row>
    <row r="14" customFormat="false" ht="15" hidden="false" customHeight="false" outlineLevel="0" collapsed="false">
      <c r="A14" s="4" t="s">
        <v>12</v>
      </c>
      <c r="B14" s="5" t="n">
        <f aca="false">COUNTIF('R2 Research (Fit 1-5)'!A2:A1000,"URGENT*")</f>
        <v>1</v>
      </c>
    </row>
    <row r="15" customFormat="false" ht="15" hidden="false" customHeight="false" outlineLevel="0" collapsed="false">
      <c r="A15" s="4" t="s">
        <v>13</v>
      </c>
      <c r="B15" s="5" t="n">
        <f aca="false">COUNTIF('R2 Research (Fit 1-5)'!A2:A1000,"NOT ELIGIBLE*")</f>
        <v>0</v>
      </c>
    </row>
    <row r="16" customFormat="false" ht="15" hidden="false" customHeight="false" outlineLevel="0" collapsed="false">
      <c r="A16" s="4" t="s">
        <v>14</v>
      </c>
      <c r="B16" s="5" t="n">
        <f aca="false">COUNTIF('R2 Research (Fit 1-5)'!J2:J1000,"NOT CHECKED*")</f>
        <v>1</v>
      </c>
    </row>
    <row r="17" customFormat="false" ht="15" hidden="false" customHeight="false" outlineLevel="0" collapsed="false">
      <c r="A17" s="4" t="s">
        <v>15</v>
      </c>
      <c r="B17" s="5" t="n">
        <f aca="false">COUNTA('R2 School Coverage'!A2:A1000)</f>
        <v>137</v>
      </c>
    </row>
    <row r="18" customFormat="false" ht="15" hidden="false" customHeight="false" outlineLevel="0" collapsed="false">
      <c r="A18" s="4" t="s">
        <v>16</v>
      </c>
      <c r="B18" s="5" t="n">
        <f aca="false">COUNTIF('R2 School Coverage'!C2:C1000,"Yes")</f>
        <v>119</v>
      </c>
    </row>
    <row r="19" customFormat="false" ht="15" hidden="false" customHeight="false" outlineLevel="0" collapsed="false">
      <c r="A19" s="4" t="s">
        <v>17</v>
      </c>
      <c r="B19" s="5" t="n">
        <f aca="false">COUNTIF('R2 School Coverage'!D2:D1000,"&gt;0")</f>
        <v>38</v>
      </c>
    </row>
    <row r="20" customFormat="false" ht="15" hidden="false" customHeight="false" outlineLevel="0" collapsed="false">
      <c r="A20" s="4" t="s">
        <v>18</v>
      </c>
      <c r="B20" s="5" t="n">
        <f aca="false">COUNTIF('R2 School Coverage'!F2:F1000,"Round 3 search done*")</f>
        <v>74</v>
      </c>
    </row>
    <row r="22" customFormat="false" ht="15" hidden="false" customHeight="false" outlineLevel="0" collapsed="false">
      <c r="A22" s="3" t="s">
        <v>19</v>
      </c>
    </row>
    <row r="23" customFormat="false" ht="30" hidden="false" customHeight="true" outlineLevel="0" collapsed="false">
      <c r="A23" s="6" t="s">
        <v>20</v>
      </c>
      <c r="B23" s="7" t="s">
        <v>21</v>
      </c>
      <c r="C23" s="7"/>
    </row>
    <row r="24" customFormat="false" ht="30" hidden="false" customHeight="true" outlineLevel="0" collapsed="false">
      <c r="A24" s="6" t="s">
        <v>22</v>
      </c>
      <c r="B24" s="7" t="s">
        <v>23</v>
      </c>
      <c r="C24" s="7"/>
    </row>
    <row r="25" customFormat="false" ht="42" hidden="false" customHeight="true" outlineLevel="0" collapsed="false">
      <c r="A25" s="6" t="s">
        <v>24</v>
      </c>
      <c r="B25" s="7" t="s">
        <v>25</v>
      </c>
      <c r="C25" s="7"/>
    </row>
    <row r="26" customFormat="false" ht="30" hidden="false" customHeight="true" outlineLevel="0" collapsed="false">
      <c r="A26" s="6" t="s">
        <v>26</v>
      </c>
      <c r="B26" s="7" t="s">
        <v>27</v>
      </c>
      <c r="C26" s="7"/>
    </row>
    <row r="27" customFormat="false" ht="42" hidden="false" customHeight="true" outlineLevel="0" collapsed="false">
      <c r="A27" s="6" t="s">
        <v>28</v>
      </c>
      <c r="B27" s="7" t="s">
        <v>29</v>
      </c>
      <c r="C27" s="7"/>
    </row>
    <row r="28" customFormat="false" ht="42" hidden="false" customHeight="true" outlineLevel="0" collapsed="false">
      <c r="A28" s="6" t="s">
        <v>30</v>
      </c>
      <c r="B28" s="7" t="s">
        <v>31</v>
      </c>
      <c r="C28" s="7"/>
    </row>
    <row r="29" customFormat="false" ht="30" hidden="false" customHeight="true" outlineLevel="0" collapsed="false">
      <c r="A29" s="6" t="s">
        <v>32</v>
      </c>
      <c r="B29" s="7" t="s">
        <v>33</v>
      </c>
      <c r="C29" s="7"/>
    </row>
    <row r="30" customFormat="false" ht="55.5" hidden="false" customHeight="true" outlineLevel="0" collapsed="false">
      <c r="A30" s="6" t="s">
        <v>34</v>
      </c>
      <c r="B30" s="7" t="s">
        <v>35</v>
      </c>
      <c r="C30" s="7"/>
    </row>
    <row r="31" customFormat="false" ht="84" hidden="false" customHeight="true" outlineLevel="0" collapsed="false">
      <c r="A31" s="6" t="s">
        <v>36</v>
      </c>
      <c r="B31" s="7" t="s">
        <v>37</v>
      </c>
      <c r="C31" s="7"/>
    </row>
    <row r="32" customFormat="false" ht="30" hidden="false" customHeight="true" outlineLevel="0" collapsed="false">
      <c r="A32" s="6" t="s">
        <v>38</v>
      </c>
      <c r="B32" s="7" t="s">
        <v>39</v>
      </c>
      <c r="C32" s="7"/>
    </row>
  </sheetData>
  <mergeCells count="11">
    <mergeCell ref="A2:C2"/>
    <mergeCell ref="B23:C23"/>
    <mergeCell ref="B24:C24"/>
    <mergeCell ref="B25:C25"/>
    <mergeCell ref="B26:C26"/>
    <mergeCell ref="B27:C27"/>
    <mergeCell ref="B28:C28"/>
    <mergeCell ref="B29:C29"/>
    <mergeCell ref="B30:C30"/>
    <mergeCell ref="B31:C31"/>
    <mergeCell ref="B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H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22"/>
    <col collapsed="false" customWidth="true" hidden="false" outlineLevel="0" max="4" min="4" style="0" width="11"/>
    <col collapsed="false" customWidth="true" hidden="false" outlineLevel="0" max="5" min="5" style="0" width="22"/>
    <col collapsed="false" customWidth="true" hidden="false" outlineLevel="0" max="6" min="6" style="0" width="36"/>
    <col collapsed="false" customWidth="true" hidden="false" outlineLevel="0" max="7" min="7" style="0" width="11"/>
    <col collapsed="false" customWidth="true" hidden="false" outlineLevel="0" max="9" min="8" style="0" width="16"/>
    <col collapsed="false" customWidth="true" hidden="false" outlineLevel="0" max="10" min="10" style="0" width="30"/>
    <col collapsed="false" customWidth="true" hidden="false" outlineLevel="0" max="11" min="11" style="0" width="14"/>
    <col collapsed="false" customWidth="true" hidden="false" outlineLevel="0" max="12" min="12" style="0" width="13"/>
    <col collapsed="false" customWidth="true" hidden="false" outlineLevel="0" max="13" min="13" style="0" width="26"/>
    <col collapsed="false" customWidth="true" hidden="false" outlineLevel="0" max="14" min="14" style="0" width="30"/>
    <col collapsed="false" customWidth="true" hidden="false" outlineLevel="0" max="15" min="15" style="0" width="35"/>
    <col collapsed="false" customWidth="true" hidden="false" outlineLevel="0" max="16" min="16" style="0" width="11"/>
    <col collapsed="false" customWidth="true" hidden="false" outlineLevel="0" max="18" min="17" style="0" width="22"/>
    <col collapsed="false" customWidth="true" hidden="false" outlineLevel="0" max="19" min="19" style="0" width="16"/>
    <col collapsed="false" customWidth="true" hidden="false" outlineLevel="0" max="21" min="20" style="0" width="6"/>
    <col collapsed="false" customWidth="true" hidden="false" outlineLevel="0" max="22" min="22" style="0" width="11"/>
    <col collapsed="false" customWidth="true" hidden="false" outlineLevel="0" max="23" min="23" style="0" width="45"/>
    <col collapsed="false" customWidth="true" hidden="false" outlineLevel="0" max="24" min="24" style="0" width="14"/>
    <col collapsed="false" customWidth="true" hidden="false" outlineLevel="0" max="25" min="25" style="0" width="40"/>
    <col collapsed="false" customWidth="true" hidden="false" outlineLevel="0" max="26" min="26" style="0" width="22"/>
    <col collapsed="false" customWidth="true" hidden="false" outlineLevel="0" max="29" min="27" style="0" width="40"/>
    <col collapsed="false" customWidth="true" hidden="false" outlineLevel="0" max="30" min="30" style="0" width="45"/>
    <col collapsed="false" customWidth="true" hidden="false" outlineLevel="0" max="31" min="31" style="0" width="18"/>
    <col collapsed="false" customWidth="true" hidden="false" outlineLevel="0" max="32" min="32" style="0" width="30"/>
    <col collapsed="false" customWidth="true" hidden="false" outlineLevel="0" max="33" min="33" style="0" width="40"/>
    <col collapsed="false" customWidth="true" hidden="false" outlineLevel="0" max="34" min="34" style="0" width="16"/>
  </cols>
  <sheetData>
    <row r="1" customFormat="false" ht="42" hidden="false" customHeight="true" outlineLevel="0" collapsed="false">
      <c r="A1" s="8" t="s">
        <v>40</v>
      </c>
      <c r="B1" s="8" t="s">
        <v>41</v>
      </c>
      <c r="C1" s="8" t="s">
        <v>42</v>
      </c>
      <c r="D1" s="8" t="s">
        <v>43</v>
      </c>
      <c r="E1" s="8" t="s">
        <v>44</v>
      </c>
      <c r="F1" s="8" t="s">
        <v>45</v>
      </c>
      <c r="G1" s="8" t="s">
        <v>46</v>
      </c>
      <c r="H1" s="8" t="s">
        <v>47</v>
      </c>
      <c r="I1" s="8" t="s">
        <v>48</v>
      </c>
      <c r="J1" s="8" t="s">
        <v>49</v>
      </c>
      <c r="K1" s="8" t="s">
        <v>50</v>
      </c>
      <c r="L1" s="8" t="s">
        <v>51</v>
      </c>
      <c r="M1" s="8" t="s">
        <v>32</v>
      </c>
      <c r="N1" s="8" t="s">
        <v>52</v>
      </c>
      <c r="O1" s="8" t="s">
        <v>53</v>
      </c>
      <c r="P1" s="8" t="s">
        <v>54</v>
      </c>
      <c r="Q1" s="8" t="s">
        <v>55</v>
      </c>
      <c r="R1" s="8" t="s">
        <v>56</v>
      </c>
      <c r="S1" s="8" t="s">
        <v>57</v>
      </c>
      <c r="T1" s="8" t="s">
        <v>58</v>
      </c>
      <c r="U1" s="8" t="s">
        <v>59</v>
      </c>
      <c r="V1" s="8" t="s">
        <v>60</v>
      </c>
      <c r="W1" s="8" t="s">
        <v>61</v>
      </c>
      <c r="X1" s="8" t="s">
        <v>62</v>
      </c>
      <c r="Y1" s="8" t="s">
        <v>63</v>
      </c>
      <c r="Z1" s="8" t="s">
        <v>64</v>
      </c>
      <c r="AA1" s="8" t="s">
        <v>65</v>
      </c>
      <c r="AB1" s="8" t="s">
        <v>66</v>
      </c>
      <c r="AC1" s="8" t="s">
        <v>67</v>
      </c>
      <c r="AD1" s="8" t="s">
        <v>68</v>
      </c>
      <c r="AE1" s="8" t="s">
        <v>69</v>
      </c>
      <c r="AF1" s="8" t="s">
        <v>70</v>
      </c>
      <c r="AG1" s="8" t="s">
        <v>71</v>
      </c>
      <c r="AH1" s="8" t="s">
        <v>34</v>
      </c>
    </row>
    <row r="2" customFormat="false" ht="60" hidden="false" customHeight="true" outlineLevel="0" collapsed="false">
      <c r="A2" s="9" t="s">
        <v>72</v>
      </c>
      <c r="B2" s="10" t="n">
        <v>5</v>
      </c>
      <c r="C2" s="11" t="s">
        <v>73</v>
      </c>
      <c r="D2" s="12" t="s">
        <v>74</v>
      </c>
      <c r="E2" s="11" t="s">
        <v>75</v>
      </c>
      <c r="F2" s="11" t="s">
        <v>76</v>
      </c>
      <c r="G2" s="13" t="n">
        <v>46251</v>
      </c>
      <c r="H2" s="11" t="s">
        <v>77</v>
      </c>
      <c r="I2" s="11" t="s">
        <v>78</v>
      </c>
      <c r="J2" s="14" t="s">
        <v>79</v>
      </c>
      <c r="K2" s="12" t="s">
        <v>80</v>
      </c>
      <c r="L2" s="12" t="s">
        <v>80</v>
      </c>
      <c r="M2" s="11" t="s">
        <v>81</v>
      </c>
      <c r="N2" s="11" t="s">
        <v>82</v>
      </c>
      <c r="O2" s="15" t="s">
        <v>83</v>
      </c>
      <c r="P2" s="12" t="s">
        <v>84</v>
      </c>
      <c r="Q2" s="11" t="s">
        <v>85</v>
      </c>
      <c r="R2" s="11" t="s">
        <v>86</v>
      </c>
      <c r="S2" s="11" t="s">
        <v>87</v>
      </c>
      <c r="T2" s="12" t="s">
        <v>88</v>
      </c>
      <c r="U2" s="12" t="s">
        <v>89</v>
      </c>
      <c r="V2" s="12" t="s">
        <v>90</v>
      </c>
      <c r="W2" s="11" t="s">
        <v>91</v>
      </c>
      <c r="X2" s="12" t="s">
        <v>92</v>
      </c>
      <c r="Y2" s="11"/>
      <c r="Z2" s="11" t="s">
        <v>80</v>
      </c>
      <c r="AA2" s="11" t="s">
        <v>93</v>
      </c>
      <c r="AB2" s="11"/>
      <c r="AC2" s="11"/>
      <c r="AD2" s="11" t="s">
        <v>94</v>
      </c>
      <c r="AE2" s="11" t="s">
        <v>95</v>
      </c>
      <c r="AF2" s="11" t="s">
        <v>96</v>
      </c>
      <c r="AG2" s="11" t="s">
        <v>97</v>
      </c>
      <c r="AH2" s="11" t="s">
        <v>98</v>
      </c>
    </row>
    <row r="3" customFormat="false" ht="60" hidden="false" customHeight="true" outlineLevel="0" collapsed="false">
      <c r="A3" s="9" t="s">
        <v>72</v>
      </c>
      <c r="B3" s="10" t="n">
        <v>5</v>
      </c>
      <c r="C3" s="11" t="s">
        <v>73</v>
      </c>
      <c r="D3" s="12" t="s">
        <v>74</v>
      </c>
      <c r="E3" s="11" t="s">
        <v>99</v>
      </c>
      <c r="F3" s="11" t="s">
        <v>100</v>
      </c>
      <c r="G3" s="13" t="n">
        <v>46265</v>
      </c>
      <c r="H3" s="11" t="s">
        <v>77</v>
      </c>
      <c r="I3" s="11" t="s">
        <v>78</v>
      </c>
      <c r="J3" s="14" t="s">
        <v>79</v>
      </c>
      <c r="K3" s="12" t="s">
        <v>80</v>
      </c>
      <c r="L3" s="12" t="s">
        <v>80</v>
      </c>
      <c r="M3" s="11" t="s">
        <v>81</v>
      </c>
      <c r="N3" s="11" t="s">
        <v>101</v>
      </c>
      <c r="O3" s="15" t="s">
        <v>102</v>
      </c>
      <c r="P3" s="12" t="s">
        <v>84</v>
      </c>
      <c r="Q3" s="11" t="s">
        <v>103</v>
      </c>
      <c r="R3" s="11" t="s">
        <v>104</v>
      </c>
      <c r="S3" s="11" t="s">
        <v>105</v>
      </c>
      <c r="T3" s="12" t="s">
        <v>88</v>
      </c>
      <c r="U3" s="12" t="s">
        <v>106</v>
      </c>
      <c r="V3" s="12" t="s">
        <v>90</v>
      </c>
      <c r="W3" s="11" t="s">
        <v>107</v>
      </c>
      <c r="X3" s="12" t="s">
        <v>108</v>
      </c>
      <c r="Y3" s="11"/>
      <c r="Z3" s="11" t="s">
        <v>80</v>
      </c>
      <c r="AA3" s="11" t="s">
        <v>93</v>
      </c>
      <c r="AB3" s="11"/>
      <c r="AC3" s="11"/>
      <c r="AD3" s="11" t="s">
        <v>109</v>
      </c>
      <c r="AE3" s="11" t="s">
        <v>95</v>
      </c>
      <c r="AF3" s="11" t="s">
        <v>110</v>
      </c>
      <c r="AG3" s="11" t="s">
        <v>111</v>
      </c>
      <c r="AH3" s="11" t="s">
        <v>98</v>
      </c>
    </row>
    <row r="4" customFormat="false" ht="60" hidden="false" customHeight="true" outlineLevel="0" collapsed="false">
      <c r="A4" s="9" t="s">
        <v>72</v>
      </c>
      <c r="B4" s="10" t="n">
        <v>5</v>
      </c>
      <c r="C4" s="11" t="s">
        <v>73</v>
      </c>
      <c r="D4" s="12" t="s">
        <v>74</v>
      </c>
      <c r="E4" s="11" t="s">
        <v>112</v>
      </c>
      <c r="F4" s="11" t="s">
        <v>113</v>
      </c>
      <c r="G4" s="13" t="n">
        <v>46295</v>
      </c>
      <c r="H4" s="11" t="s">
        <v>77</v>
      </c>
      <c r="I4" s="11" t="s">
        <v>78</v>
      </c>
      <c r="J4" s="14" t="s">
        <v>79</v>
      </c>
      <c r="K4" s="12" t="s">
        <v>80</v>
      </c>
      <c r="L4" s="12" t="s">
        <v>80</v>
      </c>
      <c r="M4" s="11" t="s">
        <v>81</v>
      </c>
      <c r="N4" s="11" t="s">
        <v>114</v>
      </c>
      <c r="O4" s="15" t="s">
        <v>115</v>
      </c>
      <c r="P4" s="12" t="s">
        <v>84</v>
      </c>
      <c r="Q4" s="11" t="s">
        <v>116</v>
      </c>
      <c r="R4" s="11" t="s">
        <v>117</v>
      </c>
      <c r="S4" s="11" t="s">
        <v>118</v>
      </c>
      <c r="T4" s="12" t="s">
        <v>88</v>
      </c>
      <c r="U4" s="12" t="s">
        <v>119</v>
      </c>
      <c r="V4" s="12" t="s">
        <v>90</v>
      </c>
      <c r="W4" s="11" t="s">
        <v>120</v>
      </c>
      <c r="X4" s="12" t="s">
        <v>121</v>
      </c>
      <c r="Y4" s="11"/>
      <c r="Z4" s="11" t="s">
        <v>80</v>
      </c>
      <c r="AA4" s="11" t="s">
        <v>93</v>
      </c>
      <c r="AB4" s="11"/>
      <c r="AC4" s="11"/>
      <c r="AD4" s="11" t="s">
        <v>122</v>
      </c>
      <c r="AE4" s="11" t="s">
        <v>95</v>
      </c>
      <c r="AF4" s="11" t="s">
        <v>123</v>
      </c>
      <c r="AG4" s="11" t="s">
        <v>124</v>
      </c>
      <c r="AH4" s="11" t="s">
        <v>125</v>
      </c>
    </row>
    <row r="5" customFormat="false" ht="60" hidden="false" customHeight="true" outlineLevel="0" collapsed="false">
      <c r="A5" s="9" t="s">
        <v>72</v>
      </c>
      <c r="B5" s="10" t="n">
        <v>5</v>
      </c>
      <c r="C5" s="11" t="s">
        <v>73</v>
      </c>
      <c r="D5" s="12" t="s">
        <v>74</v>
      </c>
      <c r="E5" s="11" t="s">
        <v>126</v>
      </c>
      <c r="F5" s="11" t="s">
        <v>127</v>
      </c>
      <c r="G5" s="13" t="n">
        <v>46306</v>
      </c>
      <c r="H5" s="11" t="s">
        <v>77</v>
      </c>
      <c r="I5" s="11" t="s">
        <v>78</v>
      </c>
      <c r="J5" s="14" t="s">
        <v>79</v>
      </c>
      <c r="K5" s="12" t="s">
        <v>80</v>
      </c>
      <c r="L5" s="12" t="s">
        <v>80</v>
      </c>
      <c r="M5" s="11" t="s">
        <v>81</v>
      </c>
      <c r="N5" s="11" t="s">
        <v>128</v>
      </c>
      <c r="O5" s="15" t="s">
        <v>129</v>
      </c>
      <c r="P5" s="12" t="s">
        <v>84</v>
      </c>
      <c r="Q5" s="11" t="s">
        <v>130</v>
      </c>
      <c r="R5" s="11" t="s">
        <v>131</v>
      </c>
      <c r="S5" s="11" t="s">
        <v>87</v>
      </c>
      <c r="T5" s="12" t="s">
        <v>88</v>
      </c>
      <c r="U5" s="12" t="s">
        <v>89</v>
      </c>
      <c r="V5" s="12" t="s">
        <v>90</v>
      </c>
      <c r="W5" s="11" t="s">
        <v>132</v>
      </c>
      <c r="X5" s="12" t="s">
        <v>133</v>
      </c>
      <c r="Y5" s="11"/>
      <c r="Z5" s="11" t="s">
        <v>80</v>
      </c>
      <c r="AA5" s="11" t="s">
        <v>93</v>
      </c>
      <c r="AB5" s="11"/>
      <c r="AC5" s="11"/>
      <c r="AD5" s="11" t="s">
        <v>134</v>
      </c>
      <c r="AE5" s="11" t="s">
        <v>95</v>
      </c>
      <c r="AF5" s="11" t="s">
        <v>135</v>
      </c>
      <c r="AG5" s="11" t="s">
        <v>136</v>
      </c>
      <c r="AH5" s="11" t="s">
        <v>98</v>
      </c>
    </row>
    <row r="6" customFormat="false" ht="60" hidden="false" customHeight="true" outlineLevel="0" collapsed="false">
      <c r="A6" s="9" t="s">
        <v>72</v>
      </c>
      <c r="B6" s="10" t="n">
        <v>5</v>
      </c>
      <c r="C6" s="11" t="s">
        <v>73</v>
      </c>
      <c r="D6" s="12" t="s">
        <v>74</v>
      </c>
      <c r="E6" s="11" t="s">
        <v>137</v>
      </c>
      <c r="F6" s="11" t="s">
        <v>138</v>
      </c>
      <c r="G6" s="12"/>
      <c r="H6" s="11" t="s">
        <v>139</v>
      </c>
      <c r="I6" s="11" t="s">
        <v>78</v>
      </c>
      <c r="J6" s="14" t="s">
        <v>79</v>
      </c>
      <c r="K6" s="12" t="s">
        <v>80</v>
      </c>
      <c r="L6" s="12" t="s">
        <v>80</v>
      </c>
      <c r="M6" s="11" t="s">
        <v>81</v>
      </c>
      <c r="N6" s="11" t="s">
        <v>140</v>
      </c>
      <c r="O6" s="15" t="s">
        <v>141</v>
      </c>
      <c r="P6" s="12" t="s">
        <v>84</v>
      </c>
      <c r="Q6" s="11" t="s">
        <v>142</v>
      </c>
      <c r="R6" s="11" t="s">
        <v>143</v>
      </c>
      <c r="S6" s="11" t="s">
        <v>144</v>
      </c>
      <c r="T6" s="12" t="s">
        <v>88</v>
      </c>
      <c r="U6" s="12" t="s">
        <v>145</v>
      </c>
      <c r="V6" s="12" t="s">
        <v>90</v>
      </c>
      <c r="W6" s="11" t="s">
        <v>146</v>
      </c>
      <c r="X6" s="12" t="s">
        <v>147</v>
      </c>
      <c r="Y6" s="11"/>
      <c r="Z6" s="11" t="s">
        <v>80</v>
      </c>
      <c r="AA6" s="11" t="s">
        <v>93</v>
      </c>
      <c r="AB6" s="11"/>
      <c r="AC6" s="11"/>
      <c r="AD6" s="11" t="s">
        <v>148</v>
      </c>
      <c r="AE6" s="11" t="s">
        <v>95</v>
      </c>
      <c r="AF6" s="11" t="s">
        <v>149</v>
      </c>
      <c r="AG6" s="11" t="s">
        <v>150</v>
      </c>
      <c r="AH6" s="11" t="s">
        <v>98</v>
      </c>
    </row>
    <row r="7" customFormat="false" ht="60" hidden="false" customHeight="true" outlineLevel="0" collapsed="false">
      <c r="A7" s="9" t="s">
        <v>72</v>
      </c>
      <c r="B7" s="10" t="n">
        <v>5</v>
      </c>
      <c r="C7" s="11" t="s">
        <v>73</v>
      </c>
      <c r="D7" s="12" t="s">
        <v>74</v>
      </c>
      <c r="E7" s="11" t="s">
        <v>151</v>
      </c>
      <c r="F7" s="11" t="s">
        <v>152</v>
      </c>
      <c r="G7" s="12"/>
      <c r="H7" s="11" t="s">
        <v>139</v>
      </c>
      <c r="I7" s="11" t="s">
        <v>78</v>
      </c>
      <c r="J7" s="14" t="s">
        <v>79</v>
      </c>
      <c r="K7" s="12" t="s">
        <v>80</v>
      </c>
      <c r="L7" s="12" t="s">
        <v>80</v>
      </c>
      <c r="M7" s="11" t="s">
        <v>81</v>
      </c>
      <c r="N7" s="11" t="s">
        <v>153</v>
      </c>
      <c r="O7" s="15" t="s">
        <v>154</v>
      </c>
      <c r="P7" s="12" t="s">
        <v>84</v>
      </c>
      <c r="Q7" s="11" t="s">
        <v>155</v>
      </c>
      <c r="R7" s="11" t="s">
        <v>156</v>
      </c>
      <c r="S7" s="11" t="s">
        <v>118</v>
      </c>
      <c r="T7" s="12" t="s">
        <v>88</v>
      </c>
      <c r="U7" s="12" t="s">
        <v>89</v>
      </c>
      <c r="V7" s="12" t="s">
        <v>90</v>
      </c>
      <c r="W7" s="11" t="s">
        <v>157</v>
      </c>
      <c r="X7" s="12" t="s">
        <v>158</v>
      </c>
      <c r="Y7" s="11"/>
      <c r="Z7" s="11" t="s">
        <v>80</v>
      </c>
      <c r="AA7" s="11" t="s">
        <v>93</v>
      </c>
      <c r="AB7" s="11"/>
      <c r="AC7" s="11"/>
      <c r="AD7" s="11" t="s">
        <v>159</v>
      </c>
      <c r="AE7" s="11" t="s">
        <v>95</v>
      </c>
      <c r="AF7" s="11" t="s">
        <v>160</v>
      </c>
      <c r="AG7" s="11" t="s">
        <v>161</v>
      </c>
      <c r="AH7" s="11" t="s">
        <v>98</v>
      </c>
    </row>
    <row r="8" customFormat="false" ht="60" hidden="false" customHeight="true" outlineLevel="0" collapsed="false">
      <c r="A8" s="9" t="s">
        <v>72</v>
      </c>
      <c r="B8" s="10" t="n">
        <v>5</v>
      </c>
      <c r="C8" s="11" t="s">
        <v>73</v>
      </c>
      <c r="D8" s="12" t="s">
        <v>74</v>
      </c>
      <c r="E8" s="11" t="s">
        <v>162</v>
      </c>
      <c r="F8" s="11" t="s">
        <v>163</v>
      </c>
      <c r="G8" s="12"/>
      <c r="H8" s="11" t="s">
        <v>164</v>
      </c>
      <c r="I8" s="11" t="s">
        <v>165</v>
      </c>
      <c r="J8" s="14" t="s">
        <v>79</v>
      </c>
      <c r="K8" s="12" t="s">
        <v>80</v>
      </c>
      <c r="L8" s="12" t="s">
        <v>80</v>
      </c>
      <c r="M8" s="11" t="s">
        <v>81</v>
      </c>
      <c r="N8" s="11" t="s">
        <v>166</v>
      </c>
      <c r="O8" s="15" t="s">
        <v>167</v>
      </c>
      <c r="P8" s="12" t="s">
        <v>84</v>
      </c>
      <c r="Q8" s="11" t="s">
        <v>168</v>
      </c>
      <c r="R8" s="11" t="s">
        <v>169</v>
      </c>
      <c r="S8" s="11" t="s">
        <v>118</v>
      </c>
      <c r="T8" s="12" t="s">
        <v>88</v>
      </c>
      <c r="U8" s="12" t="s">
        <v>170</v>
      </c>
      <c r="V8" s="12" t="s">
        <v>90</v>
      </c>
      <c r="W8" s="11" t="s">
        <v>171</v>
      </c>
      <c r="X8" s="12" t="s">
        <v>172</v>
      </c>
      <c r="Y8" s="11"/>
      <c r="Z8" s="11" t="s">
        <v>80</v>
      </c>
      <c r="AA8" s="11" t="s">
        <v>93</v>
      </c>
      <c r="AB8" s="11"/>
      <c r="AC8" s="11"/>
      <c r="AD8" s="11" t="s">
        <v>173</v>
      </c>
      <c r="AE8" s="11" t="s">
        <v>174</v>
      </c>
      <c r="AF8" s="11" t="s">
        <v>175</v>
      </c>
      <c r="AG8" s="11" t="s">
        <v>176</v>
      </c>
      <c r="AH8" s="11" t="s">
        <v>98</v>
      </c>
    </row>
    <row r="9" customFormat="false" ht="60" hidden="false" customHeight="true" outlineLevel="0" collapsed="false">
      <c r="A9" s="16" t="s">
        <v>177</v>
      </c>
      <c r="B9" s="10" t="n">
        <v>5</v>
      </c>
      <c r="C9" s="11" t="s">
        <v>73</v>
      </c>
      <c r="D9" s="12" t="s">
        <v>74</v>
      </c>
      <c r="E9" s="11" t="s">
        <v>137</v>
      </c>
      <c r="F9" s="11" t="s">
        <v>178</v>
      </c>
      <c r="G9" s="13" t="n">
        <v>46266</v>
      </c>
      <c r="H9" s="11" t="s">
        <v>77</v>
      </c>
      <c r="I9" s="11" t="s">
        <v>78</v>
      </c>
      <c r="J9" s="17" t="s">
        <v>179</v>
      </c>
      <c r="K9" s="12" t="s">
        <v>165</v>
      </c>
      <c r="L9" s="12" t="s">
        <v>180</v>
      </c>
      <c r="M9" s="11" t="s">
        <v>181</v>
      </c>
      <c r="N9" s="11" t="s">
        <v>182</v>
      </c>
      <c r="O9" s="15" t="s">
        <v>183</v>
      </c>
      <c r="P9" s="12" t="s">
        <v>184</v>
      </c>
      <c r="Q9" s="11" t="s">
        <v>185</v>
      </c>
      <c r="R9" s="11" t="s">
        <v>143</v>
      </c>
      <c r="S9" s="11" t="s">
        <v>118</v>
      </c>
      <c r="T9" s="12" t="s">
        <v>88</v>
      </c>
      <c r="U9" s="12" t="s">
        <v>145</v>
      </c>
      <c r="V9" s="12" t="s">
        <v>90</v>
      </c>
      <c r="W9" s="11" t="s">
        <v>186</v>
      </c>
      <c r="X9" s="12" t="s">
        <v>108</v>
      </c>
      <c r="Y9" s="11" t="s">
        <v>187</v>
      </c>
      <c r="Z9" s="11" t="s">
        <v>188</v>
      </c>
      <c r="AA9" s="11" t="s">
        <v>93</v>
      </c>
      <c r="AB9" s="11" t="s">
        <v>189</v>
      </c>
      <c r="AC9" s="11" t="s">
        <v>190</v>
      </c>
      <c r="AD9" s="11" t="s">
        <v>191</v>
      </c>
      <c r="AE9" s="11" t="s">
        <v>95</v>
      </c>
      <c r="AF9" s="11" t="s">
        <v>192</v>
      </c>
      <c r="AG9" s="11" t="s">
        <v>193</v>
      </c>
      <c r="AH9" s="11" t="s">
        <v>125</v>
      </c>
    </row>
    <row r="10" customFormat="false" ht="60" hidden="false" customHeight="true" outlineLevel="0" collapsed="false">
      <c r="A10" s="16" t="s">
        <v>177</v>
      </c>
      <c r="B10" s="10" t="n">
        <v>5</v>
      </c>
      <c r="C10" s="11" t="s">
        <v>73</v>
      </c>
      <c r="D10" s="12" t="s">
        <v>74</v>
      </c>
      <c r="E10" s="11" t="s">
        <v>112</v>
      </c>
      <c r="F10" s="11" t="s">
        <v>194</v>
      </c>
      <c r="G10" s="13" t="n">
        <v>46292</v>
      </c>
      <c r="H10" s="11" t="s">
        <v>77</v>
      </c>
      <c r="I10" s="11" t="s">
        <v>78</v>
      </c>
      <c r="J10" s="17" t="s">
        <v>179</v>
      </c>
      <c r="K10" s="12" t="s">
        <v>165</v>
      </c>
      <c r="L10" s="12" t="s">
        <v>180</v>
      </c>
      <c r="M10" s="11" t="s">
        <v>181</v>
      </c>
      <c r="N10" s="11" t="s">
        <v>195</v>
      </c>
      <c r="O10" s="15" t="s">
        <v>196</v>
      </c>
      <c r="P10" s="12" t="s">
        <v>184</v>
      </c>
      <c r="Q10" s="11" t="s">
        <v>116</v>
      </c>
      <c r="R10" s="11" t="s">
        <v>117</v>
      </c>
      <c r="S10" s="11" t="s">
        <v>118</v>
      </c>
      <c r="T10" s="12" t="s">
        <v>88</v>
      </c>
      <c r="U10" s="12" t="s">
        <v>119</v>
      </c>
      <c r="V10" s="12" t="s">
        <v>90</v>
      </c>
      <c r="W10" s="11" t="s">
        <v>197</v>
      </c>
      <c r="X10" s="12" t="s">
        <v>198</v>
      </c>
      <c r="Y10" s="11" t="s">
        <v>199</v>
      </c>
      <c r="Z10" s="11" t="s">
        <v>188</v>
      </c>
      <c r="AA10" s="11" t="s">
        <v>93</v>
      </c>
      <c r="AB10" s="11" t="s">
        <v>200</v>
      </c>
      <c r="AC10" s="11" t="s">
        <v>201</v>
      </c>
      <c r="AD10" s="11" t="s">
        <v>202</v>
      </c>
      <c r="AE10" s="11" t="s">
        <v>95</v>
      </c>
      <c r="AF10" s="11" t="s">
        <v>203</v>
      </c>
      <c r="AG10" s="11" t="s">
        <v>204</v>
      </c>
      <c r="AH10" s="11" t="s">
        <v>125</v>
      </c>
    </row>
    <row r="11" customFormat="false" ht="60" hidden="false" customHeight="true" outlineLevel="0" collapsed="false">
      <c r="A11" s="16" t="s">
        <v>205</v>
      </c>
      <c r="B11" s="10" t="n">
        <v>5</v>
      </c>
      <c r="C11" s="11" t="s">
        <v>73</v>
      </c>
      <c r="D11" s="12" t="s">
        <v>74</v>
      </c>
      <c r="E11" s="11" t="s">
        <v>206</v>
      </c>
      <c r="F11" s="11" t="s">
        <v>207</v>
      </c>
      <c r="G11" s="12"/>
      <c r="H11" s="11" t="s">
        <v>139</v>
      </c>
      <c r="I11" s="11" t="s">
        <v>78</v>
      </c>
      <c r="J11" s="17" t="s">
        <v>179</v>
      </c>
      <c r="K11" s="12" t="s">
        <v>165</v>
      </c>
      <c r="L11" s="12" t="s">
        <v>180</v>
      </c>
      <c r="M11" s="11" t="s">
        <v>181</v>
      </c>
      <c r="N11" s="11" t="s">
        <v>208</v>
      </c>
      <c r="O11" s="15" t="s">
        <v>209</v>
      </c>
      <c r="P11" s="12" t="s">
        <v>184</v>
      </c>
      <c r="Q11" s="11" t="s">
        <v>210</v>
      </c>
      <c r="R11" s="11" t="s">
        <v>131</v>
      </c>
      <c r="S11" s="11" t="s">
        <v>211</v>
      </c>
      <c r="T11" s="12" t="s">
        <v>88</v>
      </c>
      <c r="U11" s="12" t="s">
        <v>212</v>
      </c>
      <c r="V11" s="12" t="s">
        <v>90</v>
      </c>
      <c r="W11" s="11" t="s">
        <v>213</v>
      </c>
      <c r="X11" s="12" t="s">
        <v>214</v>
      </c>
      <c r="Y11" s="11" t="s">
        <v>215</v>
      </c>
      <c r="Z11" s="11" t="s">
        <v>188</v>
      </c>
      <c r="AA11" s="11" t="s">
        <v>93</v>
      </c>
      <c r="AB11" s="11" t="s">
        <v>216</v>
      </c>
      <c r="AC11" s="11" t="s">
        <v>217</v>
      </c>
      <c r="AD11" s="11" t="s">
        <v>218</v>
      </c>
      <c r="AE11" s="11" t="s">
        <v>95</v>
      </c>
      <c r="AF11" s="11" t="s">
        <v>219</v>
      </c>
      <c r="AG11" s="11" t="s">
        <v>220</v>
      </c>
      <c r="AH11" s="11" t="s">
        <v>98</v>
      </c>
    </row>
    <row r="12" customFormat="false" ht="60" hidden="false" customHeight="true" outlineLevel="0" collapsed="false">
      <c r="A12" s="16" t="s">
        <v>205</v>
      </c>
      <c r="B12" s="10" t="n">
        <v>5</v>
      </c>
      <c r="C12" s="11" t="s">
        <v>73</v>
      </c>
      <c r="D12" s="12" t="s">
        <v>74</v>
      </c>
      <c r="E12" s="11" t="s">
        <v>221</v>
      </c>
      <c r="F12" s="11" t="s">
        <v>222</v>
      </c>
      <c r="G12" s="12"/>
      <c r="H12" s="11" t="s">
        <v>139</v>
      </c>
      <c r="I12" s="11" t="s">
        <v>78</v>
      </c>
      <c r="J12" s="18" t="s">
        <v>223</v>
      </c>
      <c r="K12" s="12" t="s">
        <v>224</v>
      </c>
      <c r="L12" s="12" t="s">
        <v>180</v>
      </c>
      <c r="M12" s="11" t="s">
        <v>225</v>
      </c>
      <c r="N12" s="11" t="s">
        <v>208</v>
      </c>
      <c r="O12" s="15" t="s">
        <v>226</v>
      </c>
      <c r="P12" s="12" t="s">
        <v>184</v>
      </c>
      <c r="Q12" s="11" t="s">
        <v>130</v>
      </c>
      <c r="R12" s="11" t="s">
        <v>227</v>
      </c>
      <c r="S12" s="11" t="s">
        <v>228</v>
      </c>
      <c r="T12" s="12" t="s">
        <v>88</v>
      </c>
      <c r="U12" s="12" t="s">
        <v>229</v>
      </c>
      <c r="V12" s="12" t="s">
        <v>90</v>
      </c>
      <c r="W12" s="11" t="s">
        <v>230</v>
      </c>
      <c r="X12" s="12" t="s">
        <v>231</v>
      </c>
      <c r="Y12" s="11" t="s">
        <v>232</v>
      </c>
      <c r="Z12" s="11" t="s">
        <v>188</v>
      </c>
      <c r="AA12" s="11" t="s">
        <v>233</v>
      </c>
      <c r="AB12" s="11" t="s">
        <v>234</v>
      </c>
      <c r="AC12" s="11" t="s">
        <v>235</v>
      </c>
      <c r="AD12" s="11" t="s">
        <v>236</v>
      </c>
      <c r="AE12" s="11" t="s">
        <v>237</v>
      </c>
      <c r="AF12" s="11" t="s">
        <v>238</v>
      </c>
      <c r="AG12" s="11" t="s">
        <v>239</v>
      </c>
      <c r="AH12" s="11" t="s">
        <v>98</v>
      </c>
    </row>
    <row r="13" customFormat="false" ht="60" hidden="false" customHeight="true" outlineLevel="0" collapsed="false">
      <c r="A13" s="16" t="s">
        <v>205</v>
      </c>
      <c r="B13" s="10" t="n">
        <v>5</v>
      </c>
      <c r="C13" s="11" t="s">
        <v>73</v>
      </c>
      <c r="D13" s="12" t="s">
        <v>74</v>
      </c>
      <c r="E13" s="11" t="s">
        <v>240</v>
      </c>
      <c r="F13" s="11" t="s">
        <v>241</v>
      </c>
      <c r="G13" s="12"/>
      <c r="H13" s="11" t="s">
        <v>164</v>
      </c>
      <c r="I13" s="11" t="s">
        <v>165</v>
      </c>
      <c r="J13" s="18" t="s">
        <v>223</v>
      </c>
      <c r="K13" s="12" t="s">
        <v>224</v>
      </c>
      <c r="L13" s="12" t="s">
        <v>180</v>
      </c>
      <c r="M13" s="11" t="s">
        <v>181</v>
      </c>
      <c r="N13" s="11" t="s">
        <v>208</v>
      </c>
      <c r="O13" s="15" t="s">
        <v>242</v>
      </c>
      <c r="P13" s="12" t="s">
        <v>184</v>
      </c>
      <c r="Q13" s="11" t="s">
        <v>243</v>
      </c>
      <c r="R13" s="11" t="s">
        <v>244</v>
      </c>
      <c r="S13" s="11" t="s">
        <v>87</v>
      </c>
      <c r="T13" s="12" t="s">
        <v>88</v>
      </c>
      <c r="U13" s="12" t="s">
        <v>245</v>
      </c>
      <c r="V13" s="12" t="s">
        <v>90</v>
      </c>
      <c r="W13" s="11" t="s">
        <v>246</v>
      </c>
      <c r="X13" s="12" t="s">
        <v>247</v>
      </c>
      <c r="Y13" s="11" t="s">
        <v>248</v>
      </c>
      <c r="Z13" s="11" t="s">
        <v>188</v>
      </c>
      <c r="AA13" s="11" t="s">
        <v>233</v>
      </c>
      <c r="AB13" s="11" t="s">
        <v>249</v>
      </c>
      <c r="AC13" s="11" t="s">
        <v>250</v>
      </c>
      <c r="AD13" s="11" t="s">
        <v>251</v>
      </c>
      <c r="AE13" s="11" t="s">
        <v>237</v>
      </c>
      <c r="AF13" s="11" t="s">
        <v>252</v>
      </c>
      <c r="AG13" s="11" t="s">
        <v>253</v>
      </c>
      <c r="AH13" s="11" t="s">
        <v>98</v>
      </c>
    </row>
    <row r="14" customFormat="false" ht="60" hidden="false" customHeight="true" outlineLevel="0" collapsed="false">
      <c r="A14" s="16" t="s">
        <v>205</v>
      </c>
      <c r="B14" s="10" t="n">
        <v>5</v>
      </c>
      <c r="C14" s="11" t="s">
        <v>73</v>
      </c>
      <c r="D14" s="12" t="s">
        <v>74</v>
      </c>
      <c r="E14" s="11" t="s">
        <v>254</v>
      </c>
      <c r="F14" s="11" t="s">
        <v>255</v>
      </c>
      <c r="G14" s="12"/>
      <c r="H14" s="11" t="s">
        <v>139</v>
      </c>
      <c r="I14" s="11" t="s">
        <v>78</v>
      </c>
      <c r="J14" s="17" t="s">
        <v>179</v>
      </c>
      <c r="K14" s="12" t="s">
        <v>165</v>
      </c>
      <c r="L14" s="12" t="s">
        <v>180</v>
      </c>
      <c r="M14" s="11" t="s">
        <v>181</v>
      </c>
      <c r="N14" s="11" t="s">
        <v>208</v>
      </c>
      <c r="O14" s="15" t="s">
        <v>256</v>
      </c>
      <c r="P14" s="12" t="s">
        <v>184</v>
      </c>
      <c r="Q14" s="11" t="s">
        <v>257</v>
      </c>
      <c r="R14" s="11" t="s">
        <v>258</v>
      </c>
      <c r="S14" s="11" t="s">
        <v>87</v>
      </c>
      <c r="T14" s="12" t="s">
        <v>88</v>
      </c>
      <c r="U14" s="12" t="s">
        <v>89</v>
      </c>
      <c r="V14" s="12" t="s">
        <v>90</v>
      </c>
      <c r="W14" s="11" t="s">
        <v>259</v>
      </c>
      <c r="X14" s="12" t="s">
        <v>260</v>
      </c>
      <c r="Y14" s="11" t="s">
        <v>261</v>
      </c>
      <c r="Z14" s="11" t="s">
        <v>188</v>
      </c>
      <c r="AA14" s="11" t="s">
        <v>93</v>
      </c>
      <c r="AB14" s="11" t="s">
        <v>262</v>
      </c>
      <c r="AC14" s="11" t="s">
        <v>263</v>
      </c>
      <c r="AD14" s="11" t="s">
        <v>264</v>
      </c>
      <c r="AE14" s="11" t="s">
        <v>237</v>
      </c>
      <c r="AF14" s="11" t="s">
        <v>265</v>
      </c>
      <c r="AG14" s="11" t="s">
        <v>266</v>
      </c>
      <c r="AH14" s="11" t="s">
        <v>98</v>
      </c>
    </row>
    <row r="15" customFormat="false" ht="60" hidden="false" customHeight="true" outlineLevel="0" collapsed="false">
      <c r="A15" s="16" t="s">
        <v>205</v>
      </c>
      <c r="B15" s="10" t="n">
        <v>5</v>
      </c>
      <c r="C15" s="11" t="s">
        <v>73</v>
      </c>
      <c r="D15" s="12" t="s">
        <v>74</v>
      </c>
      <c r="E15" s="11" t="s">
        <v>267</v>
      </c>
      <c r="F15" s="11" t="s">
        <v>268</v>
      </c>
      <c r="G15" s="12"/>
      <c r="H15" s="11" t="s">
        <v>139</v>
      </c>
      <c r="I15" s="11" t="s">
        <v>78</v>
      </c>
      <c r="J15" s="17" t="s">
        <v>179</v>
      </c>
      <c r="K15" s="12" t="s">
        <v>165</v>
      </c>
      <c r="L15" s="12" t="s">
        <v>180</v>
      </c>
      <c r="M15" s="11" t="s">
        <v>269</v>
      </c>
      <c r="N15" s="11" t="s">
        <v>208</v>
      </c>
      <c r="O15" s="15" t="s">
        <v>270</v>
      </c>
      <c r="P15" s="12" t="s">
        <v>184</v>
      </c>
      <c r="Q15" s="11" t="s">
        <v>271</v>
      </c>
      <c r="R15" s="11" t="s">
        <v>272</v>
      </c>
      <c r="S15" s="11" t="s">
        <v>273</v>
      </c>
      <c r="T15" s="12" t="s">
        <v>88</v>
      </c>
      <c r="U15" s="12" t="s">
        <v>274</v>
      </c>
      <c r="V15" s="12" t="s">
        <v>90</v>
      </c>
      <c r="W15" s="11" t="s">
        <v>275</v>
      </c>
      <c r="X15" s="12" t="s">
        <v>276</v>
      </c>
      <c r="Y15" s="11" t="s">
        <v>277</v>
      </c>
      <c r="Z15" s="11" t="s">
        <v>188</v>
      </c>
      <c r="AA15" s="11" t="s">
        <v>93</v>
      </c>
      <c r="AB15" s="11" t="s">
        <v>278</v>
      </c>
      <c r="AC15" s="11" t="s">
        <v>279</v>
      </c>
      <c r="AD15" s="11" t="s">
        <v>280</v>
      </c>
      <c r="AE15" s="11" t="s">
        <v>95</v>
      </c>
      <c r="AF15" s="11" t="s">
        <v>281</v>
      </c>
      <c r="AG15" s="11" t="s">
        <v>282</v>
      </c>
      <c r="AH15" s="11" t="s">
        <v>98</v>
      </c>
    </row>
    <row r="16" customFormat="false" ht="60" hidden="false" customHeight="true" outlineLevel="0" collapsed="false">
      <c r="A16" s="16" t="s">
        <v>205</v>
      </c>
      <c r="B16" s="10" t="n">
        <v>5</v>
      </c>
      <c r="C16" s="11" t="s">
        <v>73</v>
      </c>
      <c r="D16" s="12" t="s">
        <v>74</v>
      </c>
      <c r="E16" s="11" t="s">
        <v>283</v>
      </c>
      <c r="F16" s="11" t="s">
        <v>284</v>
      </c>
      <c r="G16" s="12"/>
      <c r="H16" s="11" t="s">
        <v>139</v>
      </c>
      <c r="I16" s="11" t="s">
        <v>78</v>
      </c>
      <c r="J16" s="17" t="s">
        <v>285</v>
      </c>
      <c r="K16" s="12" t="s">
        <v>165</v>
      </c>
      <c r="L16" s="12" t="s">
        <v>286</v>
      </c>
      <c r="M16" s="11" t="s">
        <v>181</v>
      </c>
      <c r="N16" s="11" t="s">
        <v>208</v>
      </c>
      <c r="O16" s="15" t="s">
        <v>287</v>
      </c>
      <c r="P16" s="12" t="s">
        <v>288</v>
      </c>
      <c r="Q16" s="11" t="s">
        <v>289</v>
      </c>
      <c r="R16" s="11" t="s">
        <v>290</v>
      </c>
      <c r="S16" s="11" t="s">
        <v>291</v>
      </c>
      <c r="T16" s="12" t="s">
        <v>88</v>
      </c>
      <c r="U16" s="12" t="s">
        <v>229</v>
      </c>
      <c r="V16" s="12" t="s">
        <v>90</v>
      </c>
      <c r="W16" s="11" t="s">
        <v>292</v>
      </c>
      <c r="X16" s="12" t="s">
        <v>293</v>
      </c>
      <c r="Y16" s="11" t="s">
        <v>294</v>
      </c>
      <c r="Z16" s="11" t="s">
        <v>188</v>
      </c>
      <c r="AA16" s="11" t="s">
        <v>93</v>
      </c>
      <c r="AB16" s="11" t="s">
        <v>295</v>
      </c>
      <c r="AC16" s="11" t="s">
        <v>296</v>
      </c>
      <c r="AD16" s="11" t="s">
        <v>297</v>
      </c>
      <c r="AE16" s="11" t="s">
        <v>237</v>
      </c>
      <c r="AF16" s="11" t="s">
        <v>298</v>
      </c>
      <c r="AG16" s="11" t="s">
        <v>299</v>
      </c>
      <c r="AH16" s="11" t="s">
        <v>98</v>
      </c>
    </row>
    <row r="17" customFormat="false" ht="60" hidden="false" customHeight="true" outlineLevel="0" collapsed="false">
      <c r="A17" s="16" t="s">
        <v>205</v>
      </c>
      <c r="B17" s="10" t="n">
        <v>5</v>
      </c>
      <c r="C17" s="11" t="s">
        <v>73</v>
      </c>
      <c r="D17" s="12" t="s">
        <v>74</v>
      </c>
      <c r="E17" s="11" t="s">
        <v>300</v>
      </c>
      <c r="F17" s="11" t="s">
        <v>301</v>
      </c>
      <c r="G17" s="12"/>
      <c r="H17" s="11" t="s">
        <v>139</v>
      </c>
      <c r="I17" s="11" t="s">
        <v>78</v>
      </c>
      <c r="J17" s="17" t="s">
        <v>179</v>
      </c>
      <c r="K17" s="12" t="s">
        <v>165</v>
      </c>
      <c r="L17" s="12" t="s">
        <v>180</v>
      </c>
      <c r="M17" s="11" t="s">
        <v>302</v>
      </c>
      <c r="N17" s="11" t="s">
        <v>208</v>
      </c>
      <c r="O17" s="15" t="s">
        <v>303</v>
      </c>
      <c r="P17" s="12" t="s">
        <v>184</v>
      </c>
      <c r="Q17" s="11" t="s">
        <v>304</v>
      </c>
      <c r="R17" s="11" t="s">
        <v>305</v>
      </c>
      <c r="S17" s="11" t="s">
        <v>306</v>
      </c>
      <c r="T17" s="12" t="s">
        <v>88</v>
      </c>
      <c r="U17" s="12" t="s">
        <v>212</v>
      </c>
      <c r="V17" s="12" t="s">
        <v>90</v>
      </c>
      <c r="W17" s="11" t="s">
        <v>307</v>
      </c>
      <c r="X17" s="12" t="s">
        <v>165</v>
      </c>
      <c r="Y17" s="11" t="s">
        <v>308</v>
      </c>
      <c r="Z17" s="11" t="s">
        <v>188</v>
      </c>
      <c r="AA17" s="11" t="s">
        <v>93</v>
      </c>
      <c r="AB17" s="11" t="s">
        <v>309</v>
      </c>
      <c r="AC17" s="11" t="s">
        <v>310</v>
      </c>
      <c r="AD17" s="11" t="s">
        <v>311</v>
      </c>
      <c r="AE17" s="11" t="s">
        <v>95</v>
      </c>
      <c r="AF17" s="11" t="s">
        <v>312</v>
      </c>
      <c r="AG17" s="11" t="s">
        <v>313</v>
      </c>
      <c r="AH17" s="11" t="s">
        <v>98</v>
      </c>
    </row>
    <row r="18" customFormat="false" ht="60" hidden="false" customHeight="true" outlineLevel="0" collapsed="false">
      <c r="A18" s="16" t="s">
        <v>205</v>
      </c>
      <c r="B18" s="10" t="n">
        <v>5</v>
      </c>
      <c r="C18" s="11" t="s">
        <v>73</v>
      </c>
      <c r="D18" s="12" t="s">
        <v>74</v>
      </c>
      <c r="E18" s="11" t="s">
        <v>314</v>
      </c>
      <c r="F18" s="11" t="s">
        <v>315</v>
      </c>
      <c r="G18" s="12"/>
      <c r="H18" s="11" t="s">
        <v>139</v>
      </c>
      <c r="I18" s="11" t="s">
        <v>78</v>
      </c>
      <c r="J18" s="17" t="s">
        <v>179</v>
      </c>
      <c r="K18" s="12" t="s">
        <v>165</v>
      </c>
      <c r="L18" s="12" t="s">
        <v>180</v>
      </c>
      <c r="M18" s="11" t="s">
        <v>181</v>
      </c>
      <c r="N18" s="11" t="s">
        <v>208</v>
      </c>
      <c r="O18" s="15" t="s">
        <v>316</v>
      </c>
      <c r="P18" s="12" t="s">
        <v>184</v>
      </c>
      <c r="Q18" s="11" t="s">
        <v>317</v>
      </c>
      <c r="R18" s="11" t="s">
        <v>318</v>
      </c>
      <c r="S18" s="11" t="s">
        <v>319</v>
      </c>
      <c r="T18" s="12" t="s">
        <v>88</v>
      </c>
      <c r="U18" s="12" t="s">
        <v>320</v>
      </c>
      <c r="V18" s="12" t="s">
        <v>90</v>
      </c>
      <c r="W18" s="11" t="s">
        <v>321</v>
      </c>
      <c r="X18" s="12" t="s">
        <v>108</v>
      </c>
      <c r="Y18" s="11" t="s">
        <v>322</v>
      </c>
      <c r="Z18" s="11" t="s">
        <v>188</v>
      </c>
      <c r="AA18" s="11" t="s">
        <v>93</v>
      </c>
      <c r="AB18" s="11" t="s">
        <v>323</v>
      </c>
      <c r="AC18" s="11" t="s">
        <v>324</v>
      </c>
      <c r="AD18" s="11" t="s">
        <v>325</v>
      </c>
      <c r="AE18" s="11" t="s">
        <v>95</v>
      </c>
      <c r="AF18" s="11" t="s">
        <v>326</v>
      </c>
      <c r="AG18" s="11" t="s">
        <v>327</v>
      </c>
      <c r="AH18" s="11" t="s">
        <v>98</v>
      </c>
    </row>
    <row r="19" customFormat="false" ht="60" hidden="false" customHeight="true" outlineLevel="0" collapsed="false">
      <c r="A19" s="16" t="s">
        <v>328</v>
      </c>
      <c r="B19" s="10" t="n">
        <v>5</v>
      </c>
      <c r="C19" s="11" t="s">
        <v>73</v>
      </c>
      <c r="D19" s="12" t="s">
        <v>74</v>
      </c>
      <c r="E19" s="11" t="s">
        <v>329</v>
      </c>
      <c r="F19" s="11" t="s">
        <v>330</v>
      </c>
      <c r="G19" s="12"/>
      <c r="H19" s="11" t="s">
        <v>164</v>
      </c>
      <c r="I19" s="11" t="s">
        <v>165</v>
      </c>
      <c r="J19" s="17" t="s">
        <v>179</v>
      </c>
      <c r="K19" s="12" t="s">
        <v>165</v>
      </c>
      <c r="L19" s="12" t="s">
        <v>180</v>
      </c>
      <c r="M19" s="11" t="s">
        <v>302</v>
      </c>
      <c r="N19" s="11" t="s">
        <v>208</v>
      </c>
      <c r="O19" s="15" t="s">
        <v>331</v>
      </c>
      <c r="P19" s="12" t="s">
        <v>332</v>
      </c>
      <c r="Q19" s="11" t="s">
        <v>333</v>
      </c>
      <c r="R19" s="11" t="s">
        <v>334</v>
      </c>
      <c r="S19" s="11" t="s">
        <v>118</v>
      </c>
      <c r="T19" s="12" t="s">
        <v>88</v>
      </c>
      <c r="U19" s="12" t="s">
        <v>335</v>
      </c>
      <c r="V19" s="12" t="s">
        <v>90</v>
      </c>
      <c r="W19" s="11" t="s">
        <v>336</v>
      </c>
      <c r="X19" s="12" t="s">
        <v>337</v>
      </c>
      <c r="Y19" s="11" t="s">
        <v>338</v>
      </c>
      <c r="Z19" s="11" t="s">
        <v>188</v>
      </c>
      <c r="AA19" s="11" t="s">
        <v>93</v>
      </c>
      <c r="AB19" s="11" t="s">
        <v>339</v>
      </c>
      <c r="AC19" s="11" t="s">
        <v>340</v>
      </c>
      <c r="AD19" s="11" t="s">
        <v>341</v>
      </c>
      <c r="AE19" s="11" t="s">
        <v>95</v>
      </c>
      <c r="AF19" s="11" t="s">
        <v>342</v>
      </c>
      <c r="AG19" s="11" t="s">
        <v>343</v>
      </c>
      <c r="AH19" s="11" t="s">
        <v>344</v>
      </c>
    </row>
    <row r="20" customFormat="false" ht="60" hidden="false" customHeight="true" outlineLevel="0" collapsed="false">
      <c r="A20" s="16" t="s">
        <v>205</v>
      </c>
      <c r="B20" s="19" t="n">
        <v>4</v>
      </c>
      <c r="C20" s="11" t="s">
        <v>73</v>
      </c>
      <c r="D20" s="12" t="s">
        <v>74</v>
      </c>
      <c r="E20" s="11" t="s">
        <v>345</v>
      </c>
      <c r="F20" s="11" t="s">
        <v>346</v>
      </c>
      <c r="G20" s="13" t="n">
        <v>46424</v>
      </c>
      <c r="H20" s="11" t="s">
        <v>347</v>
      </c>
      <c r="I20" s="11" t="s">
        <v>348</v>
      </c>
      <c r="J20" s="11" t="s">
        <v>349</v>
      </c>
      <c r="K20" s="12" t="s">
        <v>165</v>
      </c>
      <c r="L20" s="12" t="s">
        <v>286</v>
      </c>
      <c r="M20" s="11" t="s">
        <v>350</v>
      </c>
      <c r="N20" s="11" t="s">
        <v>208</v>
      </c>
      <c r="O20" s="15" t="s">
        <v>351</v>
      </c>
      <c r="P20" s="12" t="s">
        <v>184</v>
      </c>
      <c r="Q20" s="11" t="s">
        <v>352</v>
      </c>
      <c r="R20" s="11" t="s">
        <v>353</v>
      </c>
      <c r="S20" s="11" t="s">
        <v>354</v>
      </c>
      <c r="T20" s="12" t="s">
        <v>88</v>
      </c>
      <c r="U20" s="12" t="s">
        <v>355</v>
      </c>
      <c r="V20" s="12" t="s">
        <v>90</v>
      </c>
      <c r="W20" s="11" t="s">
        <v>356</v>
      </c>
      <c r="X20" s="12" t="s">
        <v>357</v>
      </c>
      <c r="Y20" s="11" t="s">
        <v>358</v>
      </c>
      <c r="Z20" s="11" t="s">
        <v>188</v>
      </c>
      <c r="AA20" s="11" t="s">
        <v>93</v>
      </c>
      <c r="AB20" s="11" t="s">
        <v>359</v>
      </c>
      <c r="AC20" s="11" t="s">
        <v>360</v>
      </c>
      <c r="AD20" s="11" t="s">
        <v>361</v>
      </c>
      <c r="AE20" s="11" t="s">
        <v>95</v>
      </c>
      <c r="AF20" s="11" t="s">
        <v>362</v>
      </c>
      <c r="AG20" s="11" t="s">
        <v>363</v>
      </c>
      <c r="AH20" s="11" t="s">
        <v>364</v>
      </c>
    </row>
    <row r="21" customFormat="false" ht="60" hidden="false" customHeight="true" outlineLevel="0" collapsed="false">
      <c r="A21" s="16" t="s">
        <v>205</v>
      </c>
      <c r="B21" s="19" t="n">
        <v>4</v>
      </c>
      <c r="C21" s="11" t="s">
        <v>73</v>
      </c>
      <c r="D21" s="12" t="s">
        <v>74</v>
      </c>
      <c r="E21" s="11" t="s">
        <v>365</v>
      </c>
      <c r="F21" s="11" t="s">
        <v>366</v>
      </c>
      <c r="G21" s="12"/>
      <c r="H21" s="11" t="s">
        <v>164</v>
      </c>
      <c r="I21" s="11" t="s">
        <v>165</v>
      </c>
      <c r="J21" s="17" t="s">
        <v>179</v>
      </c>
      <c r="K21" s="12" t="s">
        <v>165</v>
      </c>
      <c r="L21" s="12" t="s">
        <v>180</v>
      </c>
      <c r="M21" s="11" t="s">
        <v>302</v>
      </c>
      <c r="N21" s="11" t="s">
        <v>208</v>
      </c>
      <c r="O21" s="15" t="s">
        <v>367</v>
      </c>
      <c r="P21" s="12" t="s">
        <v>332</v>
      </c>
      <c r="Q21" s="11" t="s">
        <v>368</v>
      </c>
      <c r="R21" s="11" t="s">
        <v>369</v>
      </c>
      <c r="S21" s="11" t="s">
        <v>370</v>
      </c>
      <c r="T21" s="12" t="s">
        <v>88</v>
      </c>
      <c r="U21" s="12" t="s">
        <v>119</v>
      </c>
      <c r="V21" s="12" t="s">
        <v>90</v>
      </c>
      <c r="W21" s="11" t="s">
        <v>371</v>
      </c>
      <c r="X21" s="12" t="s">
        <v>165</v>
      </c>
      <c r="Y21" s="11" t="s">
        <v>372</v>
      </c>
      <c r="Z21" s="11" t="s">
        <v>188</v>
      </c>
      <c r="AA21" s="11" t="s">
        <v>93</v>
      </c>
      <c r="AB21" s="11" t="s">
        <v>373</v>
      </c>
      <c r="AC21" s="11" t="s">
        <v>374</v>
      </c>
      <c r="AD21" s="11" t="s">
        <v>375</v>
      </c>
      <c r="AE21" s="11" t="s">
        <v>95</v>
      </c>
      <c r="AF21" s="11" t="s">
        <v>376</v>
      </c>
      <c r="AG21" s="11" t="s">
        <v>377</v>
      </c>
      <c r="AH21" s="11" t="s">
        <v>125</v>
      </c>
    </row>
    <row r="22" customFormat="false" ht="60" hidden="false" customHeight="true" outlineLevel="0" collapsed="false">
      <c r="A22" s="16" t="s">
        <v>205</v>
      </c>
      <c r="B22" s="19" t="n">
        <v>4</v>
      </c>
      <c r="C22" s="11" t="s">
        <v>73</v>
      </c>
      <c r="D22" s="12" t="s">
        <v>74</v>
      </c>
      <c r="E22" s="11" t="s">
        <v>267</v>
      </c>
      <c r="F22" s="11" t="s">
        <v>378</v>
      </c>
      <c r="G22" s="12"/>
      <c r="H22" s="11" t="s">
        <v>139</v>
      </c>
      <c r="I22" s="11" t="s">
        <v>78</v>
      </c>
      <c r="J22" s="17" t="s">
        <v>179</v>
      </c>
      <c r="K22" s="12" t="s">
        <v>165</v>
      </c>
      <c r="L22" s="12" t="s">
        <v>180</v>
      </c>
      <c r="M22" s="11" t="s">
        <v>379</v>
      </c>
      <c r="N22" s="11" t="s">
        <v>208</v>
      </c>
      <c r="O22" s="15" t="s">
        <v>380</v>
      </c>
      <c r="P22" s="12" t="s">
        <v>184</v>
      </c>
      <c r="Q22" s="11" t="s">
        <v>381</v>
      </c>
      <c r="R22" s="11" t="s">
        <v>272</v>
      </c>
      <c r="S22" s="11" t="s">
        <v>118</v>
      </c>
      <c r="T22" s="12" t="s">
        <v>88</v>
      </c>
      <c r="U22" s="12" t="s">
        <v>274</v>
      </c>
      <c r="V22" s="12" t="s">
        <v>90</v>
      </c>
      <c r="W22" s="11" t="s">
        <v>382</v>
      </c>
      <c r="X22" s="12" t="s">
        <v>383</v>
      </c>
      <c r="Y22" s="11" t="s">
        <v>384</v>
      </c>
      <c r="Z22" s="11" t="s">
        <v>188</v>
      </c>
      <c r="AA22" s="11" t="s">
        <v>93</v>
      </c>
      <c r="AB22" s="11" t="s">
        <v>385</v>
      </c>
      <c r="AC22" s="11" t="s">
        <v>386</v>
      </c>
      <c r="AD22" s="11" t="s">
        <v>387</v>
      </c>
      <c r="AE22" s="11" t="s">
        <v>237</v>
      </c>
      <c r="AF22" s="11" t="s">
        <v>388</v>
      </c>
      <c r="AG22" s="11" t="s">
        <v>389</v>
      </c>
      <c r="AH22" s="11" t="s">
        <v>98</v>
      </c>
    </row>
    <row r="23" customFormat="false" ht="60" hidden="false" customHeight="true" outlineLevel="0" collapsed="false">
      <c r="A23" s="16" t="s">
        <v>205</v>
      </c>
      <c r="B23" s="19" t="n">
        <v>4</v>
      </c>
      <c r="C23" s="11" t="s">
        <v>73</v>
      </c>
      <c r="D23" s="12" t="s">
        <v>74</v>
      </c>
      <c r="E23" s="11" t="s">
        <v>314</v>
      </c>
      <c r="F23" s="11" t="s">
        <v>390</v>
      </c>
      <c r="G23" s="12"/>
      <c r="H23" s="11" t="s">
        <v>139</v>
      </c>
      <c r="I23" s="11" t="s">
        <v>78</v>
      </c>
      <c r="J23" s="17" t="s">
        <v>285</v>
      </c>
      <c r="K23" s="12" t="s">
        <v>165</v>
      </c>
      <c r="L23" s="12" t="s">
        <v>286</v>
      </c>
      <c r="M23" s="11" t="s">
        <v>181</v>
      </c>
      <c r="N23" s="11" t="s">
        <v>208</v>
      </c>
      <c r="O23" s="15" t="s">
        <v>391</v>
      </c>
      <c r="P23" s="12" t="s">
        <v>332</v>
      </c>
      <c r="Q23" s="11" t="s">
        <v>317</v>
      </c>
      <c r="R23" s="11" t="s">
        <v>318</v>
      </c>
      <c r="S23" s="11" t="s">
        <v>392</v>
      </c>
      <c r="T23" s="12" t="s">
        <v>88</v>
      </c>
      <c r="U23" s="12" t="s">
        <v>320</v>
      </c>
      <c r="V23" s="12" t="s">
        <v>90</v>
      </c>
      <c r="W23" s="11" t="s">
        <v>393</v>
      </c>
      <c r="X23" s="12" t="s">
        <v>108</v>
      </c>
      <c r="Y23" s="11" t="s">
        <v>394</v>
      </c>
      <c r="Z23" s="11" t="s">
        <v>188</v>
      </c>
      <c r="AA23" s="11" t="s">
        <v>93</v>
      </c>
      <c r="AB23" s="11" t="s">
        <v>395</v>
      </c>
      <c r="AC23" s="11" t="s">
        <v>396</v>
      </c>
      <c r="AD23" s="11" t="s">
        <v>397</v>
      </c>
      <c r="AE23" s="11" t="s">
        <v>237</v>
      </c>
      <c r="AF23" s="11"/>
      <c r="AG23" s="11" t="s">
        <v>398</v>
      </c>
      <c r="AH23" s="11" t="s">
        <v>98</v>
      </c>
    </row>
    <row r="24" customFormat="false" ht="60" hidden="false" customHeight="true" outlineLevel="0" collapsed="false">
      <c r="A24" s="20" t="s">
        <v>399</v>
      </c>
      <c r="B24" s="19" t="n">
        <v>4</v>
      </c>
      <c r="C24" s="11" t="s">
        <v>73</v>
      </c>
      <c r="D24" s="12" t="s">
        <v>74</v>
      </c>
      <c r="E24" s="11" t="s">
        <v>400</v>
      </c>
      <c r="F24" s="11" t="s">
        <v>401</v>
      </c>
      <c r="G24" s="13" t="n">
        <v>46295</v>
      </c>
      <c r="H24" s="11" t="s">
        <v>402</v>
      </c>
      <c r="I24" s="11" t="s">
        <v>403</v>
      </c>
      <c r="J24" s="17" t="s">
        <v>179</v>
      </c>
      <c r="K24" s="12" t="s">
        <v>165</v>
      </c>
      <c r="L24" s="12" t="s">
        <v>180</v>
      </c>
      <c r="M24" s="11" t="s">
        <v>379</v>
      </c>
      <c r="N24" s="11" t="s">
        <v>208</v>
      </c>
      <c r="O24" s="15" t="s">
        <v>404</v>
      </c>
      <c r="P24" s="12" t="s">
        <v>332</v>
      </c>
      <c r="Q24" s="11" t="s">
        <v>405</v>
      </c>
      <c r="R24" s="11" t="s">
        <v>406</v>
      </c>
      <c r="S24" s="11" t="s">
        <v>118</v>
      </c>
      <c r="T24" s="12" t="s">
        <v>88</v>
      </c>
      <c r="U24" s="12" t="s">
        <v>407</v>
      </c>
      <c r="V24" s="12" t="s">
        <v>90</v>
      </c>
      <c r="W24" s="11" t="s">
        <v>408</v>
      </c>
      <c r="X24" s="12" t="s">
        <v>409</v>
      </c>
      <c r="Y24" s="11" t="s">
        <v>410</v>
      </c>
      <c r="Z24" s="11" t="s">
        <v>188</v>
      </c>
      <c r="AA24" s="11" t="s">
        <v>93</v>
      </c>
      <c r="AB24" s="11" t="s">
        <v>411</v>
      </c>
      <c r="AC24" s="11" t="s">
        <v>412</v>
      </c>
      <c r="AD24" s="11" t="s">
        <v>413</v>
      </c>
      <c r="AE24" s="11" t="s">
        <v>174</v>
      </c>
      <c r="AF24" s="11" t="s">
        <v>414</v>
      </c>
      <c r="AG24" s="11" t="s">
        <v>415</v>
      </c>
      <c r="AH24" s="11" t="s">
        <v>98</v>
      </c>
    </row>
    <row r="25" customFormat="false" ht="60" hidden="false" customHeight="true" outlineLevel="0" collapsed="false">
      <c r="A25" s="21" t="s">
        <v>416</v>
      </c>
      <c r="B25" s="19" t="n">
        <v>4</v>
      </c>
      <c r="C25" s="11" t="s">
        <v>73</v>
      </c>
      <c r="D25" s="12" t="s">
        <v>74</v>
      </c>
      <c r="E25" s="11" t="s">
        <v>417</v>
      </c>
      <c r="F25" s="11" t="s">
        <v>418</v>
      </c>
      <c r="G25" s="13" t="n">
        <v>46356</v>
      </c>
      <c r="H25" s="11" t="s">
        <v>402</v>
      </c>
      <c r="I25" s="11" t="s">
        <v>419</v>
      </c>
      <c r="J25" s="17" t="s">
        <v>179</v>
      </c>
      <c r="K25" s="12" t="s">
        <v>165</v>
      </c>
      <c r="L25" s="12" t="s">
        <v>180</v>
      </c>
      <c r="M25" s="11" t="s">
        <v>181</v>
      </c>
      <c r="N25" s="11" t="s">
        <v>208</v>
      </c>
      <c r="O25" s="15" t="s">
        <v>420</v>
      </c>
      <c r="P25" s="12" t="s">
        <v>288</v>
      </c>
      <c r="Q25" s="11" t="s">
        <v>421</v>
      </c>
      <c r="R25" s="11" t="s">
        <v>422</v>
      </c>
      <c r="S25" s="11" t="s">
        <v>87</v>
      </c>
      <c r="T25" s="12" t="s">
        <v>88</v>
      </c>
      <c r="U25" s="12" t="s">
        <v>145</v>
      </c>
      <c r="V25" s="12" t="s">
        <v>90</v>
      </c>
      <c r="W25" s="11" t="s">
        <v>423</v>
      </c>
      <c r="X25" s="12" t="s">
        <v>424</v>
      </c>
      <c r="Y25" s="11" t="s">
        <v>425</v>
      </c>
      <c r="Z25" s="11" t="s">
        <v>188</v>
      </c>
      <c r="AA25" s="11" t="s">
        <v>93</v>
      </c>
      <c r="AB25" s="11" t="s">
        <v>426</v>
      </c>
      <c r="AC25" s="11" t="s">
        <v>427</v>
      </c>
      <c r="AD25" s="11" t="s">
        <v>428</v>
      </c>
      <c r="AE25" s="11" t="s">
        <v>174</v>
      </c>
      <c r="AF25" s="11" t="s">
        <v>429</v>
      </c>
      <c r="AG25" s="11" t="s">
        <v>430</v>
      </c>
      <c r="AH25" s="11" t="s">
        <v>98</v>
      </c>
    </row>
    <row r="26" customFormat="false" ht="60" hidden="false" customHeight="true" outlineLevel="0" collapsed="false">
      <c r="A26" s="21" t="s">
        <v>416</v>
      </c>
      <c r="B26" s="19" t="n">
        <v>4</v>
      </c>
      <c r="C26" s="11" t="s">
        <v>73</v>
      </c>
      <c r="D26" s="12" t="s">
        <v>74</v>
      </c>
      <c r="E26" s="11" t="s">
        <v>431</v>
      </c>
      <c r="F26" s="11" t="s">
        <v>432</v>
      </c>
      <c r="G26" s="13" t="n">
        <v>46387</v>
      </c>
      <c r="H26" s="11" t="s">
        <v>402</v>
      </c>
      <c r="I26" s="11" t="s">
        <v>433</v>
      </c>
      <c r="J26" s="17" t="s">
        <v>179</v>
      </c>
      <c r="K26" s="12" t="s">
        <v>165</v>
      </c>
      <c r="L26" s="12" t="s">
        <v>180</v>
      </c>
      <c r="M26" s="11" t="s">
        <v>181</v>
      </c>
      <c r="N26" s="11" t="s">
        <v>208</v>
      </c>
      <c r="O26" s="15" t="s">
        <v>434</v>
      </c>
      <c r="P26" s="12" t="s">
        <v>288</v>
      </c>
      <c r="Q26" s="11" t="s">
        <v>317</v>
      </c>
      <c r="R26" s="11" t="s">
        <v>435</v>
      </c>
      <c r="S26" s="11" t="s">
        <v>118</v>
      </c>
      <c r="T26" s="12" t="s">
        <v>88</v>
      </c>
      <c r="U26" s="12" t="s">
        <v>436</v>
      </c>
      <c r="V26" s="12" t="s">
        <v>90</v>
      </c>
      <c r="W26" s="11" t="s">
        <v>437</v>
      </c>
      <c r="X26" s="12" t="s">
        <v>438</v>
      </c>
      <c r="Y26" s="11" t="s">
        <v>439</v>
      </c>
      <c r="Z26" s="11" t="s">
        <v>188</v>
      </c>
      <c r="AA26" s="11" t="s">
        <v>93</v>
      </c>
      <c r="AB26" s="11" t="s">
        <v>440</v>
      </c>
      <c r="AC26" s="11" t="s">
        <v>441</v>
      </c>
      <c r="AD26" s="11" t="s">
        <v>442</v>
      </c>
      <c r="AE26" s="11" t="s">
        <v>237</v>
      </c>
      <c r="AF26" s="11" t="s">
        <v>443</v>
      </c>
      <c r="AG26" s="11" t="s">
        <v>444</v>
      </c>
      <c r="AH26" s="11" t="s">
        <v>344</v>
      </c>
    </row>
    <row r="27" customFormat="false" ht="60" hidden="false" customHeight="true" outlineLevel="0" collapsed="false">
      <c r="A27" s="16" t="s">
        <v>205</v>
      </c>
      <c r="B27" s="22" t="n">
        <v>3</v>
      </c>
      <c r="C27" s="11" t="s">
        <v>73</v>
      </c>
      <c r="D27" s="12" t="s">
        <v>74</v>
      </c>
      <c r="E27" s="11" t="s">
        <v>445</v>
      </c>
      <c r="F27" s="11" t="s">
        <v>446</v>
      </c>
      <c r="G27" s="12"/>
      <c r="H27" s="11" t="s">
        <v>164</v>
      </c>
      <c r="I27" s="11" t="s">
        <v>165</v>
      </c>
      <c r="J27" s="17" t="s">
        <v>179</v>
      </c>
      <c r="K27" s="12" t="s">
        <v>165</v>
      </c>
      <c r="L27" s="12" t="s">
        <v>180</v>
      </c>
      <c r="M27" s="11" t="s">
        <v>379</v>
      </c>
      <c r="N27" s="11" t="s">
        <v>208</v>
      </c>
      <c r="O27" s="15" t="s">
        <v>447</v>
      </c>
      <c r="P27" s="12" t="s">
        <v>184</v>
      </c>
      <c r="Q27" s="11" t="s">
        <v>448</v>
      </c>
      <c r="R27" s="11" t="s">
        <v>86</v>
      </c>
      <c r="S27" s="11" t="s">
        <v>449</v>
      </c>
      <c r="T27" s="12" t="s">
        <v>88</v>
      </c>
      <c r="U27" s="12" t="s">
        <v>212</v>
      </c>
      <c r="V27" s="12" t="s">
        <v>90</v>
      </c>
      <c r="W27" s="11" t="s">
        <v>450</v>
      </c>
      <c r="X27" s="12" t="s">
        <v>451</v>
      </c>
      <c r="Y27" s="11" t="s">
        <v>452</v>
      </c>
      <c r="Z27" s="11" t="s">
        <v>188</v>
      </c>
      <c r="AA27" s="11" t="s">
        <v>93</v>
      </c>
      <c r="AB27" s="11" t="s">
        <v>453</v>
      </c>
      <c r="AC27" s="11" t="s">
        <v>454</v>
      </c>
      <c r="AD27" s="11" t="s">
        <v>455</v>
      </c>
      <c r="AE27" s="11" t="s">
        <v>174</v>
      </c>
      <c r="AF27" s="11" t="s">
        <v>456</v>
      </c>
      <c r="AG27" s="11" t="s">
        <v>457</v>
      </c>
      <c r="AH27" s="11" t="s">
        <v>98</v>
      </c>
    </row>
    <row r="28" customFormat="false" ht="60" hidden="false" customHeight="true" outlineLevel="0" collapsed="false">
      <c r="A28" s="16" t="s">
        <v>205</v>
      </c>
      <c r="B28" s="22" t="n">
        <v>3</v>
      </c>
      <c r="C28" s="11" t="s">
        <v>73</v>
      </c>
      <c r="D28" s="12" t="s">
        <v>74</v>
      </c>
      <c r="E28" s="11" t="s">
        <v>458</v>
      </c>
      <c r="F28" s="11" t="s">
        <v>459</v>
      </c>
      <c r="G28" s="12"/>
      <c r="H28" s="11" t="s">
        <v>139</v>
      </c>
      <c r="I28" s="11" t="s">
        <v>78</v>
      </c>
      <c r="J28" s="17" t="s">
        <v>179</v>
      </c>
      <c r="K28" s="12" t="s">
        <v>165</v>
      </c>
      <c r="L28" s="12" t="s">
        <v>180</v>
      </c>
      <c r="M28" s="11" t="s">
        <v>460</v>
      </c>
      <c r="N28" s="11" t="s">
        <v>208</v>
      </c>
      <c r="O28" s="15" t="s">
        <v>461</v>
      </c>
      <c r="P28" s="12" t="s">
        <v>332</v>
      </c>
      <c r="Q28" s="11" t="s">
        <v>462</v>
      </c>
      <c r="R28" s="11" t="s">
        <v>463</v>
      </c>
      <c r="S28" s="11" t="s">
        <v>464</v>
      </c>
      <c r="T28" s="12" t="s">
        <v>88</v>
      </c>
      <c r="U28" s="12" t="s">
        <v>465</v>
      </c>
      <c r="V28" s="12" t="s">
        <v>466</v>
      </c>
      <c r="W28" s="11" t="s">
        <v>467</v>
      </c>
      <c r="X28" s="12" t="s">
        <v>468</v>
      </c>
      <c r="Y28" s="11" t="s">
        <v>469</v>
      </c>
      <c r="Z28" s="11" t="s">
        <v>188</v>
      </c>
      <c r="AA28" s="11" t="s">
        <v>93</v>
      </c>
      <c r="AB28" s="11" t="s">
        <v>470</v>
      </c>
      <c r="AC28" s="11" t="s">
        <v>471</v>
      </c>
      <c r="AD28" s="11" t="s">
        <v>472</v>
      </c>
      <c r="AE28" s="11" t="s">
        <v>237</v>
      </c>
      <c r="AF28" s="11"/>
      <c r="AG28" s="11" t="s">
        <v>473</v>
      </c>
      <c r="AH28" s="11" t="s">
        <v>344</v>
      </c>
    </row>
    <row r="29" customFormat="false" ht="60" hidden="false" customHeight="true" outlineLevel="0" collapsed="false">
      <c r="A29" s="16" t="s">
        <v>205</v>
      </c>
      <c r="B29" s="22" t="n">
        <v>3</v>
      </c>
      <c r="C29" s="11" t="s">
        <v>73</v>
      </c>
      <c r="D29" s="12" t="s">
        <v>74</v>
      </c>
      <c r="E29" s="11" t="s">
        <v>474</v>
      </c>
      <c r="F29" s="11" t="s">
        <v>475</v>
      </c>
      <c r="G29" s="12"/>
      <c r="H29" s="11" t="s">
        <v>164</v>
      </c>
      <c r="I29" s="11" t="s">
        <v>165</v>
      </c>
      <c r="J29" s="17" t="s">
        <v>179</v>
      </c>
      <c r="K29" s="12" t="s">
        <v>165</v>
      </c>
      <c r="L29" s="12" t="s">
        <v>180</v>
      </c>
      <c r="M29" s="11" t="s">
        <v>181</v>
      </c>
      <c r="N29" s="11" t="s">
        <v>208</v>
      </c>
      <c r="O29" s="15" t="s">
        <v>476</v>
      </c>
      <c r="P29" s="12" t="s">
        <v>184</v>
      </c>
      <c r="Q29" s="11" t="s">
        <v>477</v>
      </c>
      <c r="R29" s="11" t="s">
        <v>86</v>
      </c>
      <c r="S29" s="11" t="s">
        <v>118</v>
      </c>
      <c r="T29" s="12" t="s">
        <v>88</v>
      </c>
      <c r="U29" s="12" t="s">
        <v>478</v>
      </c>
      <c r="V29" s="12" t="s">
        <v>90</v>
      </c>
      <c r="W29" s="11" t="s">
        <v>479</v>
      </c>
      <c r="X29" s="12" t="s">
        <v>260</v>
      </c>
      <c r="Y29" s="11" t="s">
        <v>480</v>
      </c>
      <c r="Z29" s="11" t="s">
        <v>188</v>
      </c>
      <c r="AA29" s="11" t="s">
        <v>93</v>
      </c>
      <c r="AB29" s="11" t="s">
        <v>481</v>
      </c>
      <c r="AC29" s="11" t="s">
        <v>482</v>
      </c>
      <c r="AD29" s="11" t="s">
        <v>483</v>
      </c>
      <c r="AE29" s="11" t="s">
        <v>174</v>
      </c>
      <c r="AF29" s="11" t="s">
        <v>484</v>
      </c>
      <c r="AG29" s="11" t="s">
        <v>485</v>
      </c>
      <c r="AH29" s="11" t="s">
        <v>98</v>
      </c>
    </row>
    <row r="30" customFormat="false" ht="60" hidden="false" customHeight="true" outlineLevel="0" collapsed="false">
      <c r="A30" s="21" t="s">
        <v>416</v>
      </c>
      <c r="B30" s="22" t="n">
        <v>3</v>
      </c>
      <c r="C30" s="11" t="s">
        <v>73</v>
      </c>
      <c r="D30" s="12" t="s">
        <v>74</v>
      </c>
      <c r="E30" s="11" t="s">
        <v>151</v>
      </c>
      <c r="F30" s="11" t="s">
        <v>486</v>
      </c>
      <c r="G30" s="13" t="n">
        <v>46345</v>
      </c>
      <c r="H30" s="11" t="s">
        <v>402</v>
      </c>
      <c r="I30" s="11" t="s">
        <v>487</v>
      </c>
      <c r="J30" s="17" t="s">
        <v>179</v>
      </c>
      <c r="K30" s="12" t="s">
        <v>165</v>
      </c>
      <c r="L30" s="12" t="s">
        <v>180</v>
      </c>
      <c r="M30" s="11" t="s">
        <v>181</v>
      </c>
      <c r="N30" s="11" t="s">
        <v>488</v>
      </c>
      <c r="O30" s="15" t="s">
        <v>489</v>
      </c>
      <c r="P30" s="12" t="s">
        <v>288</v>
      </c>
      <c r="Q30" s="11" t="s">
        <v>490</v>
      </c>
      <c r="R30" s="11" t="s">
        <v>491</v>
      </c>
      <c r="S30" s="11" t="s">
        <v>118</v>
      </c>
      <c r="T30" s="12" t="s">
        <v>88</v>
      </c>
      <c r="U30" s="12" t="s">
        <v>89</v>
      </c>
      <c r="V30" s="12" t="s">
        <v>466</v>
      </c>
      <c r="W30" s="11" t="s">
        <v>492</v>
      </c>
      <c r="X30" s="12" t="s">
        <v>493</v>
      </c>
      <c r="Y30" s="11" t="s">
        <v>494</v>
      </c>
      <c r="Z30" s="11" t="s">
        <v>188</v>
      </c>
      <c r="AA30" s="11" t="s">
        <v>93</v>
      </c>
      <c r="AB30" s="11" t="s">
        <v>495</v>
      </c>
      <c r="AC30" s="11" t="s">
        <v>496</v>
      </c>
      <c r="AD30" s="11" t="s">
        <v>497</v>
      </c>
      <c r="AE30" s="11" t="s">
        <v>237</v>
      </c>
      <c r="AF30" s="11" t="s">
        <v>498</v>
      </c>
      <c r="AG30" s="11" t="s">
        <v>499</v>
      </c>
      <c r="AH30" s="11" t="s">
        <v>500</v>
      </c>
    </row>
    <row r="31" customFormat="false" ht="60" hidden="false" customHeight="true" outlineLevel="0" collapsed="false">
      <c r="A31" s="23" t="s">
        <v>501</v>
      </c>
      <c r="B31" s="24" t="n">
        <v>2</v>
      </c>
      <c r="C31" s="11" t="s">
        <v>73</v>
      </c>
      <c r="D31" s="12" t="s">
        <v>74</v>
      </c>
      <c r="E31" s="11" t="s">
        <v>151</v>
      </c>
      <c r="F31" s="11" t="s">
        <v>502</v>
      </c>
      <c r="G31" s="13" t="n">
        <v>46311</v>
      </c>
      <c r="H31" s="11" t="s">
        <v>402</v>
      </c>
      <c r="I31" s="11" t="s">
        <v>503</v>
      </c>
      <c r="J31" s="17" t="s">
        <v>179</v>
      </c>
      <c r="K31" s="12" t="s">
        <v>165</v>
      </c>
      <c r="L31" s="12" t="s">
        <v>180</v>
      </c>
      <c r="M31" s="11" t="s">
        <v>181</v>
      </c>
      <c r="N31" s="11" t="s">
        <v>488</v>
      </c>
      <c r="O31" s="15" t="s">
        <v>504</v>
      </c>
      <c r="P31" s="12" t="s">
        <v>288</v>
      </c>
      <c r="Q31" s="11" t="s">
        <v>505</v>
      </c>
      <c r="R31" s="11" t="s">
        <v>156</v>
      </c>
      <c r="S31" s="11" t="s">
        <v>118</v>
      </c>
      <c r="T31" s="12" t="s">
        <v>88</v>
      </c>
      <c r="U31" s="12" t="s">
        <v>89</v>
      </c>
      <c r="V31" s="12" t="s">
        <v>90</v>
      </c>
      <c r="W31" s="11" t="s">
        <v>506</v>
      </c>
      <c r="X31" s="12" t="s">
        <v>158</v>
      </c>
      <c r="Y31" s="11" t="s">
        <v>507</v>
      </c>
      <c r="Z31" s="11" t="s">
        <v>188</v>
      </c>
      <c r="AA31" s="11" t="s">
        <v>93</v>
      </c>
      <c r="AB31" s="11" t="s">
        <v>508</v>
      </c>
      <c r="AC31" s="11" t="s">
        <v>509</v>
      </c>
      <c r="AD31" s="11" t="s">
        <v>510</v>
      </c>
      <c r="AE31" s="11" t="s">
        <v>237</v>
      </c>
      <c r="AF31" s="11" t="s">
        <v>511</v>
      </c>
      <c r="AG31" s="11" t="s">
        <v>512</v>
      </c>
      <c r="AH31" s="11" t="s">
        <v>98</v>
      </c>
    </row>
    <row r="32" customFormat="false" ht="60" hidden="false" customHeight="true" outlineLevel="0" collapsed="false">
      <c r="A32" s="16" t="s">
        <v>177</v>
      </c>
      <c r="B32" s="24" t="n">
        <v>2</v>
      </c>
      <c r="C32" s="11" t="s">
        <v>73</v>
      </c>
      <c r="D32" s="12" t="s">
        <v>74</v>
      </c>
      <c r="E32" s="11" t="s">
        <v>75</v>
      </c>
      <c r="F32" s="11" t="s">
        <v>513</v>
      </c>
      <c r="G32" s="13" t="n">
        <v>46254</v>
      </c>
      <c r="H32" s="11" t="s">
        <v>77</v>
      </c>
      <c r="I32" s="11" t="s">
        <v>78</v>
      </c>
      <c r="J32" s="25" t="s">
        <v>514</v>
      </c>
      <c r="K32" s="12" t="s">
        <v>515</v>
      </c>
      <c r="L32" s="12" t="s">
        <v>180</v>
      </c>
      <c r="M32" s="11" t="s">
        <v>181</v>
      </c>
      <c r="N32" s="11" t="s">
        <v>516</v>
      </c>
      <c r="O32" s="15" t="s">
        <v>517</v>
      </c>
      <c r="P32" s="12" t="s">
        <v>184</v>
      </c>
      <c r="Q32" s="11" t="s">
        <v>518</v>
      </c>
      <c r="R32" s="11" t="s">
        <v>86</v>
      </c>
      <c r="S32" s="11" t="s">
        <v>87</v>
      </c>
      <c r="T32" s="12" t="s">
        <v>88</v>
      </c>
      <c r="U32" s="12" t="s">
        <v>89</v>
      </c>
      <c r="V32" s="12" t="s">
        <v>90</v>
      </c>
      <c r="W32" s="11" t="s">
        <v>519</v>
      </c>
      <c r="X32" s="12" t="s">
        <v>520</v>
      </c>
      <c r="Y32" s="11" t="s">
        <v>521</v>
      </c>
      <c r="Z32" s="11" t="s">
        <v>188</v>
      </c>
      <c r="AA32" s="11" t="s">
        <v>522</v>
      </c>
      <c r="AB32" s="11" t="s">
        <v>523</v>
      </c>
      <c r="AC32" s="11" t="s">
        <v>524</v>
      </c>
      <c r="AD32" s="11" t="s">
        <v>525</v>
      </c>
      <c r="AE32" s="11" t="s">
        <v>95</v>
      </c>
      <c r="AF32" s="11" t="s">
        <v>526</v>
      </c>
      <c r="AG32" s="11" t="s">
        <v>527</v>
      </c>
      <c r="AH32" s="11" t="s">
        <v>98</v>
      </c>
    </row>
    <row r="33" customFormat="false" ht="60" hidden="false" customHeight="true" outlineLevel="0" collapsed="false">
      <c r="A33" s="16" t="s">
        <v>177</v>
      </c>
      <c r="B33" s="24" t="n">
        <v>2</v>
      </c>
      <c r="C33" s="11" t="s">
        <v>73</v>
      </c>
      <c r="D33" s="12" t="s">
        <v>74</v>
      </c>
      <c r="E33" s="11" t="s">
        <v>528</v>
      </c>
      <c r="F33" s="11" t="s">
        <v>529</v>
      </c>
      <c r="G33" s="13" t="n">
        <v>46304</v>
      </c>
      <c r="H33" s="11" t="s">
        <v>77</v>
      </c>
      <c r="I33" s="11" t="s">
        <v>78</v>
      </c>
      <c r="J33" s="17" t="s">
        <v>285</v>
      </c>
      <c r="K33" s="12" t="s">
        <v>165</v>
      </c>
      <c r="L33" s="12" t="s">
        <v>286</v>
      </c>
      <c r="M33" s="11" t="s">
        <v>181</v>
      </c>
      <c r="N33" s="11" t="s">
        <v>530</v>
      </c>
      <c r="O33" s="15" t="s">
        <v>531</v>
      </c>
      <c r="P33" s="12" t="s">
        <v>184</v>
      </c>
      <c r="Q33" s="11" t="s">
        <v>532</v>
      </c>
      <c r="R33" s="11" t="s">
        <v>533</v>
      </c>
      <c r="S33" s="11" t="s">
        <v>118</v>
      </c>
      <c r="T33" s="12" t="s">
        <v>88</v>
      </c>
      <c r="U33" s="12" t="s">
        <v>89</v>
      </c>
      <c r="V33" s="12" t="s">
        <v>90</v>
      </c>
      <c r="W33" s="11" t="s">
        <v>534</v>
      </c>
      <c r="X33" s="12" t="s">
        <v>108</v>
      </c>
      <c r="Y33" s="11" t="s">
        <v>535</v>
      </c>
      <c r="Z33" s="11" t="s">
        <v>188</v>
      </c>
      <c r="AA33" s="11" t="s">
        <v>93</v>
      </c>
      <c r="AB33" s="11" t="s">
        <v>536</v>
      </c>
      <c r="AC33" s="11" t="s">
        <v>537</v>
      </c>
      <c r="AD33" s="11" t="s">
        <v>538</v>
      </c>
      <c r="AE33" s="11" t="s">
        <v>237</v>
      </c>
      <c r="AF33" s="11"/>
      <c r="AG33" s="11" t="s">
        <v>539</v>
      </c>
      <c r="AH33" s="11" t="s">
        <v>98</v>
      </c>
    </row>
    <row r="34" customFormat="false" ht="60" hidden="false" customHeight="true" outlineLevel="0" collapsed="false">
      <c r="A34" s="16" t="s">
        <v>205</v>
      </c>
      <c r="B34" s="24" t="n">
        <v>2</v>
      </c>
      <c r="C34" s="11" t="s">
        <v>73</v>
      </c>
      <c r="D34" s="12" t="s">
        <v>74</v>
      </c>
      <c r="E34" s="11" t="s">
        <v>458</v>
      </c>
      <c r="F34" s="11" t="s">
        <v>540</v>
      </c>
      <c r="G34" s="12"/>
      <c r="H34" s="11" t="s">
        <v>164</v>
      </c>
      <c r="I34" s="11" t="s">
        <v>462</v>
      </c>
      <c r="J34" s="26" t="s">
        <v>541</v>
      </c>
      <c r="K34" s="12" t="s">
        <v>542</v>
      </c>
      <c r="L34" s="12" t="s">
        <v>542</v>
      </c>
      <c r="M34" s="11" t="s">
        <v>460</v>
      </c>
      <c r="N34" s="11" t="s">
        <v>208</v>
      </c>
      <c r="O34" s="15" t="s">
        <v>543</v>
      </c>
      <c r="P34" s="12" t="s">
        <v>544</v>
      </c>
      <c r="Q34" s="11" t="s">
        <v>545</v>
      </c>
      <c r="R34" s="11" t="s">
        <v>546</v>
      </c>
      <c r="S34" s="11" t="s">
        <v>547</v>
      </c>
      <c r="T34" s="12" t="s">
        <v>88</v>
      </c>
      <c r="U34" s="12" t="s">
        <v>465</v>
      </c>
      <c r="V34" s="12" t="s">
        <v>466</v>
      </c>
      <c r="W34" s="11" t="s">
        <v>548</v>
      </c>
      <c r="X34" s="12" t="s">
        <v>462</v>
      </c>
      <c r="Y34" s="11"/>
      <c r="Z34" s="11" t="s">
        <v>542</v>
      </c>
      <c r="AA34" s="11" t="s">
        <v>549</v>
      </c>
      <c r="AB34" s="11"/>
      <c r="AC34" s="11"/>
      <c r="AD34" s="11" t="s">
        <v>550</v>
      </c>
      <c r="AE34" s="11" t="s">
        <v>237</v>
      </c>
      <c r="AF34" s="11" t="s">
        <v>551</v>
      </c>
      <c r="AG34" s="11" t="s">
        <v>552</v>
      </c>
      <c r="AH34" s="11" t="s">
        <v>553</v>
      </c>
    </row>
    <row r="35" customFormat="false" ht="60" hidden="false" customHeight="true" outlineLevel="0" collapsed="false">
      <c r="A35" s="16" t="s">
        <v>205</v>
      </c>
      <c r="B35" s="24" t="n">
        <v>2</v>
      </c>
      <c r="C35" s="11" t="s">
        <v>73</v>
      </c>
      <c r="D35" s="12" t="s">
        <v>74</v>
      </c>
      <c r="E35" s="11" t="s">
        <v>345</v>
      </c>
      <c r="F35" s="11" t="s">
        <v>554</v>
      </c>
      <c r="G35" s="12"/>
      <c r="H35" s="11" t="s">
        <v>164</v>
      </c>
      <c r="I35" s="11" t="s">
        <v>165</v>
      </c>
      <c r="J35" s="17" t="s">
        <v>179</v>
      </c>
      <c r="K35" s="12" t="s">
        <v>165</v>
      </c>
      <c r="L35" s="12" t="s">
        <v>180</v>
      </c>
      <c r="M35" s="11" t="s">
        <v>302</v>
      </c>
      <c r="N35" s="11" t="s">
        <v>208</v>
      </c>
      <c r="O35" s="15" t="s">
        <v>555</v>
      </c>
      <c r="P35" s="12" t="s">
        <v>332</v>
      </c>
      <c r="Q35" s="11" t="s">
        <v>556</v>
      </c>
      <c r="R35" s="11" t="s">
        <v>557</v>
      </c>
      <c r="S35" s="11" t="s">
        <v>558</v>
      </c>
      <c r="T35" s="12" t="s">
        <v>88</v>
      </c>
      <c r="U35" s="12" t="s">
        <v>355</v>
      </c>
      <c r="V35" s="12" t="s">
        <v>466</v>
      </c>
      <c r="W35" s="11" t="s">
        <v>559</v>
      </c>
      <c r="X35" s="12" t="s">
        <v>560</v>
      </c>
      <c r="Y35" s="11" t="s">
        <v>561</v>
      </c>
      <c r="Z35" s="11" t="s">
        <v>188</v>
      </c>
      <c r="AA35" s="11" t="s">
        <v>93</v>
      </c>
      <c r="AB35" s="11" t="s">
        <v>562</v>
      </c>
      <c r="AC35" s="11" t="s">
        <v>563</v>
      </c>
      <c r="AD35" s="11" t="s">
        <v>564</v>
      </c>
      <c r="AE35" s="11" t="s">
        <v>174</v>
      </c>
      <c r="AF35" s="11" t="s">
        <v>565</v>
      </c>
      <c r="AG35" s="11" t="s">
        <v>566</v>
      </c>
      <c r="AH35" s="11" t="s">
        <v>344</v>
      </c>
    </row>
    <row r="36" customFormat="false" ht="60" hidden="false" customHeight="true" outlineLevel="0" collapsed="false">
      <c r="A36" s="16" t="s">
        <v>205</v>
      </c>
      <c r="B36" s="24" t="n">
        <v>2</v>
      </c>
      <c r="C36" s="11" t="s">
        <v>73</v>
      </c>
      <c r="D36" s="12" t="s">
        <v>74</v>
      </c>
      <c r="E36" s="11" t="s">
        <v>567</v>
      </c>
      <c r="F36" s="11" t="s">
        <v>568</v>
      </c>
      <c r="G36" s="12"/>
      <c r="H36" s="11" t="s">
        <v>139</v>
      </c>
      <c r="I36" s="11" t="s">
        <v>78</v>
      </c>
      <c r="J36" s="17" t="s">
        <v>179</v>
      </c>
      <c r="K36" s="12" t="s">
        <v>165</v>
      </c>
      <c r="L36" s="12" t="s">
        <v>180</v>
      </c>
      <c r="M36" s="11" t="s">
        <v>379</v>
      </c>
      <c r="N36" s="11" t="s">
        <v>208</v>
      </c>
      <c r="O36" s="15" t="s">
        <v>569</v>
      </c>
      <c r="P36" s="12" t="s">
        <v>184</v>
      </c>
      <c r="Q36" s="11" t="s">
        <v>570</v>
      </c>
      <c r="R36" s="11" t="s">
        <v>571</v>
      </c>
      <c r="S36" s="11" t="s">
        <v>118</v>
      </c>
      <c r="T36" s="12" t="s">
        <v>88</v>
      </c>
      <c r="U36" s="12" t="s">
        <v>572</v>
      </c>
      <c r="V36" s="12" t="s">
        <v>90</v>
      </c>
      <c r="W36" s="11" t="s">
        <v>573</v>
      </c>
      <c r="X36" s="12" t="s">
        <v>574</v>
      </c>
      <c r="Y36" s="11" t="s">
        <v>575</v>
      </c>
      <c r="Z36" s="11" t="s">
        <v>188</v>
      </c>
      <c r="AA36" s="11" t="s">
        <v>93</v>
      </c>
      <c r="AB36" s="11" t="s">
        <v>576</v>
      </c>
      <c r="AC36" s="11" t="s">
        <v>577</v>
      </c>
      <c r="AD36" s="11" t="s">
        <v>578</v>
      </c>
      <c r="AE36" s="11" t="s">
        <v>95</v>
      </c>
      <c r="AF36" s="11"/>
      <c r="AG36" s="11" t="s">
        <v>579</v>
      </c>
      <c r="AH36" s="11" t="s">
        <v>98</v>
      </c>
    </row>
    <row r="37" customFormat="false" ht="60" hidden="false" customHeight="true" outlineLevel="0" collapsed="false">
      <c r="A37" s="16" t="s">
        <v>205</v>
      </c>
      <c r="B37" s="24" t="n">
        <v>2</v>
      </c>
      <c r="C37" s="11" t="s">
        <v>73</v>
      </c>
      <c r="D37" s="12" t="s">
        <v>74</v>
      </c>
      <c r="E37" s="11" t="s">
        <v>580</v>
      </c>
      <c r="F37" s="11" t="s">
        <v>581</v>
      </c>
      <c r="G37" s="12"/>
      <c r="H37" s="11" t="s">
        <v>164</v>
      </c>
      <c r="I37" s="11" t="s">
        <v>165</v>
      </c>
      <c r="J37" s="17" t="s">
        <v>179</v>
      </c>
      <c r="K37" s="12" t="s">
        <v>165</v>
      </c>
      <c r="L37" s="12" t="s">
        <v>180</v>
      </c>
      <c r="M37" s="11" t="s">
        <v>181</v>
      </c>
      <c r="N37" s="11" t="s">
        <v>208</v>
      </c>
      <c r="O37" s="15" t="s">
        <v>582</v>
      </c>
      <c r="P37" s="12" t="s">
        <v>184</v>
      </c>
      <c r="Q37" s="11" t="s">
        <v>583</v>
      </c>
      <c r="R37" s="11" t="s">
        <v>584</v>
      </c>
      <c r="S37" s="11" t="s">
        <v>118</v>
      </c>
      <c r="T37" s="12" t="s">
        <v>88</v>
      </c>
      <c r="U37" s="12" t="s">
        <v>436</v>
      </c>
      <c r="V37" s="12" t="s">
        <v>90</v>
      </c>
      <c r="W37" s="11" t="s">
        <v>585</v>
      </c>
      <c r="X37" s="12" t="s">
        <v>586</v>
      </c>
      <c r="Y37" s="11" t="s">
        <v>587</v>
      </c>
      <c r="Z37" s="11" t="s">
        <v>188</v>
      </c>
      <c r="AA37" s="11" t="s">
        <v>93</v>
      </c>
      <c r="AB37" s="11" t="s">
        <v>588</v>
      </c>
      <c r="AC37" s="11" t="s">
        <v>589</v>
      </c>
      <c r="AD37" s="11" t="s">
        <v>590</v>
      </c>
      <c r="AE37" s="11" t="s">
        <v>95</v>
      </c>
      <c r="AF37" s="11" t="s">
        <v>591</v>
      </c>
      <c r="AG37" s="11" t="s">
        <v>592</v>
      </c>
      <c r="AH37" s="11" t="s">
        <v>98</v>
      </c>
    </row>
    <row r="38" customFormat="false" ht="60" hidden="false" customHeight="true" outlineLevel="0" collapsed="false">
      <c r="A38" s="16" t="s">
        <v>205</v>
      </c>
      <c r="B38" s="24" t="n">
        <v>2</v>
      </c>
      <c r="C38" s="11" t="s">
        <v>73</v>
      </c>
      <c r="D38" s="12" t="s">
        <v>74</v>
      </c>
      <c r="E38" s="11" t="s">
        <v>593</v>
      </c>
      <c r="F38" s="11" t="s">
        <v>594</v>
      </c>
      <c r="G38" s="12"/>
      <c r="H38" s="11" t="s">
        <v>164</v>
      </c>
      <c r="I38" s="11" t="s">
        <v>165</v>
      </c>
      <c r="J38" s="17" t="s">
        <v>179</v>
      </c>
      <c r="K38" s="12" t="s">
        <v>165</v>
      </c>
      <c r="L38" s="12" t="s">
        <v>180</v>
      </c>
      <c r="M38" s="11" t="s">
        <v>225</v>
      </c>
      <c r="N38" s="11" t="s">
        <v>208</v>
      </c>
      <c r="O38" s="15" t="s">
        <v>595</v>
      </c>
      <c r="P38" s="12" t="s">
        <v>332</v>
      </c>
      <c r="Q38" s="11" t="s">
        <v>596</v>
      </c>
      <c r="R38" s="11" t="s">
        <v>597</v>
      </c>
      <c r="S38" s="11" t="s">
        <v>598</v>
      </c>
      <c r="T38" s="12" t="s">
        <v>88</v>
      </c>
      <c r="U38" s="12" t="s">
        <v>335</v>
      </c>
      <c r="V38" s="12" t="s">
        <v>90</v>
      </c>
      <c r="W38" s="11" t="s">
        <v>599</v>
      </c>
      <c r="X38" s="12" t="s">
        <v>600</v>
      </c>
      <c r="Y38" s="11" t="s">
        <v>601</v>
      </c>
      <c r="Z38" s="11" t="s">
        <v>188</v>
      </c>
      <c r="AA38" s="11" t="s">
        <v>93</v>
      </c>
      <c r="AB38" s="11" t="s">
        <v>602</v>
      </c>
      <c r="AC38" s="11" t="s">
        <v>603</v>
      </c>
      <c r="AD38" s="11" t="s">
        <v>604</v>
      </c>
      <c r="AE38" s="11" t="s">
        <v>95</v>
      </c>
      <c r="AF38" s="11" t="s">
        <v>605</v>
      </c>
      <c r="AG38" s="11" t="s">
        <v>606</v>
      </c>
      <c r="AH38" s="11" t="s">
        <v>364</v>
      </c>
    </row>
    <row r="39" customFormat="false" ht="60" hidden="false" customHeight="true" outlineLevel="0" collapsed="false">
      <c r="A39" s="16" t="s">
        <v>205</v>
      </c>
      <c r="B39" s="24" t="n">
        <v>2</v>
      </c>
      <c r="C39" s="11" t="s">
        <v>73</v>
      </c>
      <c r="D39" s="12" t="s">
        <v>74</v>
      </c>
      <c r="E39" s="11" t="s">
        <v>607</v>
      </c>
      <c r="F39" s="11" t="s">
        <v>608</v>
      </c>
      <c r="G39" s="12"/>
      <c r="H39" s="11" t="s">
        <v>164</v>
      </c>
      <c r="I39" s="11" t="s">
        <v>165</v>
      </c>
      <c r="J39" s="17" t="s">
        <v>179</v>
      </c>
      <c r="K39" s="12" t="s">
        <v>165</v>
      </c>
      <c r="L39" s="12" t="s">
        <v>180</v>
      </c>
      <c r="M39" s="11" t="s">
        <v>302</v>
      </c>
      <c r="N39" s="11" t="s">
        <v>208</v>
      </c>
      <c r="O39" s="15" t="s">
        <v>609</v>
      </c>
      <c r="P39" s="12" t="s">
        <v>184</v>
      </c>
      <c r="Q39" s="11" t="s">
        <v>610</v>
      </c>
      <c r="R39" s="11" t="s">
        <v>611</v>
      </c>
      <c r="S39" s="11" t="s">
        <v>118</v>
      </c>
      <c r="T39" s="12" t="s">
        <v>88</v>
      </c>
      <c r="U39" s="12" t="s">
        <v>106</v>
      </c>
      <c r="V39" s="12" t="s">
        <v>90</v>
      </c>
      <c r="W39" s="11" t="s">
        <v>612</v>
      </c>
      <c r="X39" s="12" t="s">
        <v>613</v>
      </c>
      <c r="Y39" s="11" t="s">
        <v>614</v>
      </c>
      <c r="Z39" s="11" t="s">
        <v>188</v>
      </c>
      <c r="AA39" s="11" t="s">
        <v>93</v>
      </c>
      <c r="AB39" s="11" t="s">
        <v>615</v>
      </c>
      <c r="AC39" s="11" t="s">
        <v>616</v>
      </c>
      <c r="AD39" s="11" t="s">
        <v>617</v>
      </c>
      <c r="AE39" s="11" t="s">
        <v>174</v>
      </c>
      <c r="AF39" s="11"/>
      <c r="AG39" s="11" t="s">
        <v>618</v>
      </c>
      <c r="AH39" s="11" t="s">
        <v>344</v>
      </c>
    </row>
    <row r="40" customFormat="false" ht="60" hidden="false" customHeight="true" outlineLevel="0" collapsed="false">
      <c r="A40" s="16" t="s">
        <v>205</v>
      </c>
      <c r="B40" s="24" t="n">
        <v>2</v>
      </c>
      <c r="C40" s="11" t="s">
        <v>73</v>
      </c>
      <c r="D40" s="12" t="s">
        <v>74</v>
      </c>
      <c r="E40" s="11" t="s">
        <v>619</v>
      </c>
      <c r="F40" s="11" t="s">
        <v>620</v>
      </c>
      <c r="G40" s="12"/>
      <c r="H40" s="11" t="s">
        <v>164</v>
      </c>
      <c r="I40" s="11" t="s">
        <v>165</v>
      </c>
      <c r="J40" s="17" t="s">
        <v>179</v>
      </c>
      <c r="K40" s="12" t="s">
        <v>165</v>
      </c>
      <c r="L40" s="12" t="s">
        <v>180</v>
      </c>
      <c r="M40" s="11" t="s">
        <v>181</v>
      </c>
      <c r="N40" s="11" t="s">
        <v>208</v>
      </c>
      <c r="O40" s="15" t="s">
        <v>621</v>
      </c>
      <c r="P40" s="12" t="s">
        <v>184</v>
      </c>
      <c r="Q40" s="11" t="s">
        <v>583</v>
      </c>
      <c r="R40" s="11" t="s">
        <v>622</v>
      </c>
      <c r="S40" s="11" t="s">
        <v>118</v>
      </c>
      <c r="T40" s="12" t="s">
        <v>88</v>
      </c>
      <c r="U40" s="12" t="s">
        <v>212</v>
      </c>
      <c r="V40" s="12" t="s">
        <v>90</v>
      </c>
      <c r="W40" s="11" t="s">
        <v>623</v>
      </c>
      <c r="X40" s="12" t="s">
        <v>108</v>
      </c>
      <c r="Y40" s="11" t="s">
        <v>624</v>
      </c>
      <c r="Z40" s="11" t="s">
        <v>188</v>
      </c>
      <c r="AA40" s="11" t="s">
        <v>93</v>
      </c>
      <c r="AB40" s="11" t="s">
        <v>625</v>
      </c>
      <c r="AC40" s="11" t="s">
        <v>626</v>
      </c>
      <c r="AD40" s="11" t="s">
        <v>627</v>
      </c>
      <c r="AE40" s="11" t="s">
        <v>95</v>
      </c>
      <c r="AF40" s="11" t="s">
        <v>628</v>
      </c>
      <c r="AG40" s="11" t="s">
        <v>629</v>
      </c>
      <c r="AH40" s="11" t="s">
        <v>98</v>
      </c>
    </row>
    <row r="41" customFormat="false" ht="60" hidden="false" customHeight="true" outlineLevel="0" collapsed="false">
      <c r="A41" s="16" t="s">
        <v>205</v>
      </c>
      <c r="B41" s="24" t="n">
        <v>2</v>
      </c>
      <c r="C41" s="11" t="s">
        <v>73</v>
      </c>
      <c r="D41" s="12" t="s">
        <v>74</v>
      </c>
      <c r="E41" s="11" t="s">
        <v>630</v>
      </c>
      <c r="F41" s="11" t="s">
        <v>631</v>
      </c>
      <c r="G41" s="12"/>
      <c r="H41" s="11" t="s">
        <v>164</v>
      </c>
      <c r="I41" s="11" t="s">
        <v>165</v>
      </c>
      <c r="J41" s="17" t="s">
        <v>179</v>
      </c>
      <c r="K41" s="12" t="s">
        <v>165</v>
      </c>
      <c r="L41" s="12" t="s">
        <v>180</v>
      </c>
      <c r="M41" s="11" t="s">
        <v>302</v>
      </c>
      <c r="N41" s="11" t="s">
        <v>208</v>
      </c>
      <c r="O41" s="15" t="s">
        <v>632</v>
      </c>
      <c r="P41" s="12" t="s">
        <v>184</v>
      </c>
      <c r="Q41" s="11" t="s">
        <v>633</v>
      </c>
      <c r="R41" s="11" t="s">
        <v>634</v>
      </c>
      <c r="S41" s="11" t="s">
        <v>635</v>
      </c>
      <c r="T41" s="12" t="s">
        <v>88</v>
      </c>
      <c r="U41" s="12" t="s">
        <v>636</v>
      </c>
      <c r="V41" s="12" t="s">
        <v>90</v>
      </c>
      <c r="W41" s="11" t="s">
        <v>637</v>
      </c>
      <c r="X41" s="12" t="s">
        <v>165</v>
      </c>
      <c r="Y41" s="11" t="s">
        <v>638</v>
      </c>
      <c r="Z41" s="11" t="s">
        <v>188</v>
      </c>
      <c r="AA41" s="11" t="s">
        <v>93</v>
      </c>
      <c r="AB41" s="11" t="s">
        <v>639</v>
      </c>
      <c r="AC41" s="11" t="s">
        <v>640</v>
      </c>
      <c r="AD41" s="11" t="s">
        <v>641</v>
      </c>
      <c r="AE41" s="11" t="s">
        <v>174</v>
      </c>
      <c r="AF41" s="11" t="s">
        <v>642</v>
      </c>
      <c r="AG41" s="11" t="s">
        <v>643</v>
      </c>
      <c r="AH41" s="11" t="s">
        <v>98</v>
      </c>
    </row>
    <row r="42" customFormat="false" ht="60" hidden="false" customHeight="true" outlineLevel="0" collapsed="false">
      <c r="A42" s="16" t="s">
        <v>205</v>
      </c>
      <c r="B42" s="24" t="n">
        <v>2</v>
      </c>
      <c r="C42" s="11" t="s">
        <v>73</v>
      </c>
      <c r="D42" s="12" t="s">
        <v>74</v>
      </c>
      <c r="E42" s="11" t="s">
        <v>644</v>
      </c>
      <c r="F42" s="11" t="s">
        <v>645</v>
      </c>
      <c r="G42" s="12"/>
      <c r="H42" s="11" t="s">
        <v>139</v>
      </c>
      <c r="I42" s="11" t="s">
        <v>78</v>
      </c>
      <c r="J42" s="17" t="s">
        <v>179</v>
      </c>
      <c r="K42" s="12" t="s">
        <v>165</v>
      </c>
      <c r="L42" s="12" t="s">
        <v>180</v>
      </c>
      <c r="M42" s="11" t="s">
        <v>181</v>
      </c>
      <c r="N42" s="11" t="s">
        <v>208</v>
      </c>
      <c r="O42" s="15" t="s">
        <v>646</v>
      </c>
      <c r="P42" s="12" t="s">
        <v>184</v>
      </c>
      <c r="Q42" s="11" t="s">
        <v>647</v>
      </c>
      <c r="R42" s="11" t="s">
        <v>648</v>
      </c>
      <c r="S42" s="11" t="s">
        <v>87</v>
      </c>
      <c r="T42" s="12" t="s">
        <v>88</v>
      </c>
      <c r="U42" s="12" t="s">
        <v>229</v>
      </c>
      <c r="V42" s="12" t="s">
        <v>90</v>
      </c>
      <c r="W42" s="11" t="s">
        <v>649</v>
      </c>
      <c r="X42" s="12" t="s">
        <v>260</v>
      </c>
      <c r="Y42" s="11" t="s">
        <v>650</v>
      </c>
      <c r="Z42" s="11" t="s">
        <v>188</v>
      </c>
      <c r="AA42" s="11" t="s">
        <v>93</v>
      </c>
      <c r="AB42" s="11" t="s">
        <v>651</v>
      </c>
      <c r="AC42" s="11" t="s">
        <v>652</v>
      </c>
      <c r="AD42" s="11" t="s">
        <v>653</v>
      </c>
      <c r="AE42" s="11" t="s">
        <v>95</v>
      </c>
      <c r="AF42" s="11" t="s">
        <v>654</v>
      </c>
      <c r="AG42" s="11" t="s">
        <v>655</v>
      </c>
      <c r="AH42" s="11" t="s">
        <v>98</v>
      </c>
    </row>
    <row r="43" customFormat="false" ht="60" hidden="false" customHeight="true" outlineLevel="0" collapsed="false">
      <c r="A43" s="20" t="s">
        <v>399</v>
      </c>
      <c r="B43" s="24" t="n">
        <v>2</v>
      </c>
      <c r="C43" s="11" t="s">
        <v>73</v>
      </c>
      <c r="D43" s="12" t="s">
        <v>74</v>
      </c>
      <c r="E43" s="11" t="s">
        <v>656</v>
      </c>
      <c r="F43" s="11" t="s">
        <v>657</v>
      </c>
      <c r="G43" s="13" t="n">
        <v>45992</v>
      </c>
      <c r="H43" s="11" t="s">
        <v>402</v>
      </c>
      <c r="I43" s="11" t="s">
        <v>658</v>
      </c>
      <c r="J43" s="17" t="s">
        <v>179</v>
      </c>
      <c r="K43" s="12" t="s">
        <v>165</v>
      </c>
      <c r="L43" s="12" t="s">
        <v>180</v>
      </c>
      <c r="M43" s="11" t="s">
        <v>302</v>
      </c>
      <c r="N43" s="11" t="s">
        <v>208</v>
      </c>
      <c r="O43" s="15" t="s">
        <v>659</v>
      </c>
      <c r="P43" s="12" t="s">
        <v>332</v>
      </c>
      <c r="Q43" s="11" t="s">
        <v>660</v>
      </c>
      <c r="R43" s="11" t="s">
        <v>661</v>
      </c>
      <c r="S43" s="11" t="s">
        <v>291</v>
      </c>
      <c r="T43" s="12" t="s">
        <v>88</v>
      </c>
      <c r="U43" s="12" t="s">
        <v>436</v>
      </c>
      <c r="V43" s="12" t="s">
        <v>90</v>
      </c>
      <c r="W43" s="11" t="s">
        <v>662</v>
      </c>
      <c r="X43" s="12" t="s">
        <v>165</v>
      </c>
      <c r="Y43" s="11" t="s">
        <v>663</v>
      </c>
      <c r="Z43" s="11" t="s">
        <v>188</v>
      </c>
      <c r="AA43" s="11" t="s">
        <v>93</v>
      </c>
      <c r="AB43" s="11" t="s">
        <v>664</v>
      </c>
      <c r="AC43" s="11" t="s">
        <v>665</v>
      </c>
      <c r="AD43" s="11" t="s">
        <v>666</v>
      </c>
      <c r="AE43" s="11" t="s">
        <v>237</v>
      </c>
      <c r="AF43" s="11" t="s">
        <v>667</v>
      </c>
      <c r="AG43" s="11" t="s">
        <v>668</v>
      </c>
      <c r="AH43" s="11" t="s">
        <v>98</v>
      </c>
    </row>
    <row r="44" customFormat="false" ht="60" hidden="false" customHeight="true" outlineLevel="0" collapsed="false">
      <c r="A44" s="21" t="s">
        <v>416</v>
      </c>
      <c r="B44" s="24" t="n">
        <v>2</v>
      </c>
      <c r="C44" s="11" t="s">
        <v>73</v>
      </c>
      <c r="D44" s="12" t="s">
        <v>74</v>
      </c>
      <c r="E44" s="11" t="s">
        <v>669</v>
      </c>
      <c r="F44" s="11" t="s">
        <v>670</v>
      </c>
      <c r="G44" s="13" t="n">
        <v>46338</v>
      </c>
      <c r="H44" s="11" t="s">
        <v>77</v>
      </c>
      <c r="I44" s="11" t="s">
        <v>78</v>
      </c>
      <c r="J44" s="17" t="s">
        <v>179</v>
      </c>
      <c r="K44" s="12" t="s">
        <v>165</v>
      </c>
      <c r="L44" s="12" t="s">
        <v>180</v>
      </c>
      <c r="M44" s="11" t="s">
        <v>379</v>
      </c>
      <c r="N44" s="11" t="s">
        <v>208</v>
      </c>
      <c r="O44" s="15" t="s">
        <v>671</v>
      </c>
      <c r="P44" s="12" t="s">
        <v>184</v>
      </c>
      <c r="Q44" s="11" t="s">
        <v>672</v>
      </c>
      <c r="R44" s="11" t="s">
        <v>86</v>
      </c>
      <c r="S44" s="11" t="s">
        <v>118</v>
      </c>
      <c r="T44" s="12" t="s">
        <v>88</v>
      </c>
      <c r="U44" s="12" t="s">
        <v>212</v>
      </c>
      <c r="V44" s="12" t="s">
        <v>90</v>
      </c>
      <c r="W44" s="11" t="s">
        <v>673</v>
      </c>
      <c r="X44" s="12" t="s">
        <v>674</v>
      </c>
      <c r="Y44" s="11" t="s">
        <v>675</v>
      </c>
      <c r="Z44" s="11" t="s">
        <v>188</v>
      </c>
      <c r="AA44" s="11" t="s">
        <v>93</v>
      </c>
      <c r="AB44" s="11" t="s">
        <v>676</v>
      </c>
      <c r="AC44" s="11" t="s">
        <v>677</v>
      </c>
      <c r="AD44" s="11" t="s">
        <v>678</v>
      </c>
      <c r="AE44" s="11" t="s">
        <v>237</v>
      </c>
      <c r="AF44" s="11" t="s">
        <v>679</v>
      </c>
      <c r="AG44" s="11" t="s">
        <v>680</v>
      </c>
      <c r="AH44" s="11" t="s">
        <v>98</v>
      </c>
    </row>
    <row r="45" customFormat="false" ht="60" hidden="false" customHeight="true" outlineLevel="0" collapsed="false">
      <c r="A45" s="21" t="s">
        <v>416</v>
      </c>
      <c r="B45" s="24" t="n">
        <v>2</v>
      </c>
      <c r="C45" s="11" t="s">
        <v>73</v>
      </c>
      <c r="D45" s="12" t="s">
        <v>74</v>
      </c>
      <c r="E45" s="11" t="s">
        <v>314</v>
      </c>
      <c r="F45" s="11" t="s">
        <v>681</v>
      </c>
      <c r="G45" s="13" t="n">
        <v>46341</v>
      </c>
      <c r="H45" s="11" t="s">
        <v>402</v>
      </c>
      <c r="I45" s="11" t="s">
        <v>682</v>
      </c>
      <c r="J45" s="17" t="s">
        <v>179</v>
      </c>
      <c r="K45" s="12" t="s">
        <v>165</v>
      </c>
      <c r="L45" s="12" t="s">
        <v>180</v>
      </c>
      <c r="M45" s="11" t="s">
        <v>181</v>
      </c>
      <c r="N45" s="11" t="s">
        <v>208</v>
      </c>
      <c r="O45" s="15" t="s">
        <v>683</v>
      </c>
      <c r="P45" s="12" t="s">
        <v>288</v>
      </c>
      <c r="Q45" s="11" t="s">
        <v>684</v>
      </c>
      <c r="R45" s="11" t="s">
        <v>685</v>
      </c>
      <c r="S45" s="11" t="s">
        <v>118</v>
      </c>
      <c r="T45" s="12" t="s">
        <v>88</v>
      </c>
      <c r="U45" s="12" t="s">
        <v>320</v>
      </c>
      <c r="V45" s="12" t="s">
        <v>466</v>
      </c>
      <c r="W45" s="11" t="s">
        <v>686</v>
      </c>
      <c r="X45" s="12" t="s">
        <v>108</v>
      </c>
      <c r="Y45" s="11" t="s">
        <v>687</v>
      </c>
      <c r="Z45" s="11" t="s">
        <v>188</v>
      </c>
      <c r="AA45" s="11" t="s">
        <v>93</v>
      </c>
      <c r="AB45" s="11" t="s">
        <v>688</v>
      </c>
      <c r="AC45" s="11" t="s">
        <v>689</v>
      </c>
      <c r="AD45" s="11" t="s">
        <v>690</v>
      </c>
      <c r="AE45" s="11" t="s">
        <v>95</v>
      </c>
      <c r="AF45" s="11" t="s">
        <v>691</v>
      </c>
      <c r="AG45" s="11" t="s">
        <v>692</v>
      </c>
      <c r="AH45" s="11" t="s">
        <v>125</v>
      </c>
    </row>
    <row r="46" customFormat="false" ht="60" hidden="false" customHeight="true" outlineLevel="0" collapsed="false">
      <c r="A46" s="21" t="s">
        <v>416</v>
      </c>
      <c r="B46" s="24" t="n">
        <v>2</v>
      </c>
      <c r="C46" s="11" t="s">
        <v>73</v>
      </c>
      <c r="D46" s="12" t="s">
        <v>74</v>
      </c>
      <c r="E46" s="11" t="s">
        <v>151</v>
      </c>
      <c r="F46" s="11" t="s">
        <v>693</v>
      </c>
      <c r="G46" s="13" t="n">
        <v>46345</v>
      </c>
      <c r="H46" s="11" t="s">
        <v>402</v>
      </c>
      <c r="I46" s="11" t="s">
        <v>487</v>
      </c>
      <c r="J46" s="17" t="s">
        <v>179</v>
      </c>
      <c r="K46" s="12" t="s">
        <v>165</v>
      </c>
      <c r="L46" s="12" t="s">
        <v>180</v>
      </c>
      <c r="M46" s="11" t="s">
        <v>181</v>
      </c>
      <c r="N46" s="11" t="s">
        <v>488</v>
      </c>
      <c r="O46" s="15" t="s">
        <v>694</v>
      </c>
      <c r="P46" s="12" t="s">
        <v>288</v>
      </c>
      <c r="Q46" s="11" t="s">
        <v>490</v>
      </c>
      <c r="R46" s="11" t="s">
        <v>491</v>
      </c>
      <c r="S46" s="11" t="s">
        <v>118</v>
      </c>
      <c r="T46" s="12" t="s">
        <v>88</v>
      </c>
      <c r="U46" s="12" t="s">
        <v>89</v>
      </c>
      <c r="V46" s="12" t="s">
        <v>466</v>
      </c>
      <c r="W46" s="11" t="s">
        <v>695</v>
      </c>
      <c r="X46" s="12" t="s">
        <v>696</v>
      </c>
      <c r="Y46" s="11" t="s">
        <v>494</v>
      </c>
      <c r="Z46" s="11" t="s">
        <v>188</v>
      </c>
      <c r="AA46" s="11" t="s">
        <v>93</v>
      </c>
      <c r="AB46" s="11" t="s">
        <v>495</v>
      </c>
      <c r="AC46" s="11" t="s">
        <v>697</v>
      </c>
      <c r="AD46" s="11" t="s">
        <v>698</v>
      </c>
      <c r="AE46" s="11" t="s">
        <v>237</v>
      </c>
      <c r="AF46" s="11" t="s">
        <v>699</v>
      </c>
      <c r="AG46" s="11" t="s">
        <v>700</v>
      </c>
      <c r="AH46" s="11" t="s">
        <v>500</v>
      </c>
    </row>
    <row r="47" customFormat="false" ht="60" hidden="false" customHeight="true" outlineLevel="0" collapsed="false">
      <c r="A47" s="16" t="s">
        <v>177</v>
      </c>
      <c r="B47" s="27" t="n">
        <v>1</v>
      </c>
      <c r="C47" s="11" t="s">
        <v>73</v>
      </c>
      <c r="D47" s="12" t="s">
        <v>74</v>
      </c>
      <c r="E47" s="11" t="s">
        <v>528</v>
      </c>
      <c r="F47" s="11" t="s">
        <v>701</v>
      </c>
      <c r="G47" s="13" t="n">
        <v>46264</v>
      </c>
      <c r="H47" s="11" t="s">
        <v>77</v>
      </c>
      <c r="I47" s="11" t="s">
        <v>78</v>
      </c>
      <c r="J47" s="25" t="s">
        <v>514</v>
      </c>
      <c r="K47" s="12" t="s">
        <v>515</v>
      </c>
      <c r="L47" s="12" t="s">
        <v>180</v>
      </c>
      <c r="M47" s="11" t="s">
        <v>379</v>
      </c>
      <c r="N47" s="11" t="s">
        <v>530</v>
      </c>
      <c r="O47" s="15" t="s">
        <v>702</v>
      </c>
      <c r="P47" s="12" t="s">
        <v>184</v>
      </c>
      <c r="Q47" s="11" t="s">
        <v>703</v>
      </c>
      <c r="R47" s="11" t="s">
        <v>533</v>
      </c>
      <c r="S47" s="11" t="s">
        <v>118</v>
      </c>
      <c r="T47" s="12" t="s">
        <v>88</v>
      </c>
      <c r="U47" s="12" t="s">
        <v>89</v>
      </c>
      <c r="V47" s="12" t="s">
        <v>90</v>
      </c>
      <c r="W47" s="11" t="s">
        <v>704</v>
      </c>
      <c r="X47" s="12" t="s">
        <v>705</v>
      </c>
      <c r="Y47" s="11" t="s">
        <v>706</v>
      </c>
      <c r="Z47" s="11" t="s">
        <v>188</v>
      </c>
      <c r="AA47" s="11" t="s">
        <v>522</v>
      </c>
      <c r="AB47" s="11" t="s">
        <v>707</v>
      </c>
      <c r="AC47" s="11" t="s">
        <v>708</v>
      </c>
      <c r="AD47" s="11" t="s">
        <v>709</v>
      </c>
      <c r="AE47" s="11" t="s">
        <v>237</v>
      </c>
      <c r="AF47" s="11"/>
      <c r="AG47" s="11" t="s">
        <v>710</v>
      </c>
      <c r="AH47" s="11" t="s">
        <v>98</v>
      </c>
    </row>
    <row r="48" customFormat="false" ht="60" hidden="false" customHeight="true" outlineLevel="0" collapsed="false">
      <c r="A48" s="16" t="s">
        <v>205</v>
      </c>
      <c r="B48" s="27" t="n">
        <v>1</v>
      </c>
      <c r="C48" s="11" t="s">
        <v>73</v>
      </c>
      <c r="D48" s="12" t="s">
        <v>74</v>
      </c>
      <c r="E48" s="11" t="s">
        <v>711</v>
      </c>
      <c r="F48" s="11" t="s">
        <v>712</v>
      </c>
      <c r="G48" s="12"/>
      <c r="H48" s="11" t="s">
        <v>139</v>
      </c>
      <c r="I48" s="11" t="s">
        <v>78</v>
      </c>
      <c r="J48" s="17" t="s">
        <v>285</v>
      </c>
      <c r="K48" s="12" t="s">
        <v>165</v>
      </c>
      <c r="L48" s="12" t="s">
        <v>286</v>
      </c>
      <c r="M48" s="11" t="s">
        <v>181</v>
      </c>
      <c r="N48" s="11" t="s">
        <v>208</v>
      </c>
      <c r="O48" s="15" t="s">
        <v>713</v>
      </c>
      <c r="P48" s="12" t="s">
        <v>184</v>
      </c>
      <c r="Q48" s="11" t="s">
        <v>714</v>
      </c>
      <c r="R48" s="11" t="s">
        <v>131</v>
      </c>
      <c r="S48" s="11" t="s">
        <v>118</v>
      </c>
      <c r="T48" s="12" t="s">
        <v>88</v>
      </c>
      <c r="U48" s="12" t="s">
        <v>715</v>
      </c>
      <c r="V48" s="12" t="s">
        <v>90</v>
      </c>
      <c r="W48" s="11" t="s">
        <v>716</v>
      </c>
      <c r="X48" s="12" t="s">
        <v>108</v>
      </c>
      <c r="Y48" s="11" t="s">
        <v>717</v>
      </c>
      <c r="Z48" s="11" t="s">
        <v>188</v>
      </c>
      <c r="AA48" s="11" t="s">
        <v>93</v>
      </c>
      <c r="AB48" s="11" t="s">
        <v>718</v>
      </c>
      <c r="AC48" s="11" t="s">
        <v>719</v>
      </c>
      <c r="AD48" s="11" t="s">
        <v>720</v>
      </c>
      <c r="AE48" s="11" t="s">
        <v>95</v>
      </c>
      <c r="AF48" s="11" t="s">
        <v>721</v>
      </c>
      <c r="AG48" s="11" t="s">
        <v>722</v>
      </c>
      <c r="AH48" s="11" t="s">
        <v>98</v>
      </c>
    </row>
    <row r="49" customFormat="false" ht="60" hidden="false" customHeight="true" outlineLevel="0" collapsed="false">
      <c r="A49" s="16" t="s">
        <v>205</v>
      </c>
      <c r="B49" s="27" t="n">
        <v>1</v>
      </c>
      <c r="C49" s="11" t="s">
        <v>73</v>
      </c>
      <c r="D49" s="12" t="s">
        <v>74</v>
      </c>
      <c r="E49" s="11" t="s">
        <v>723</v>
      </c>
      <c r="F49" s="11" t="s">
        <v>724</v>
      </c>
      <c r="G49" s="12"/>
      <c r="H49" s="11" t="s">
        <v>164</v>
      </c>
      <c r="I49" s="11" t="s">
        <v>165</v>
      </c>
      <c r="J49" s="17" t="s">
        <v>179</v>
      </c>
      <c r="K49" s="12" t="s">
        <v>165</v>
      </c>
      <c r="L49" s="12" t="s">
        <v>180</v>
      </c>
      <c r="M49" s="11" t="s">
        <v>302</v>
      </c>
      <c r="N49" s="11" t="s">
        <v>208</v>
      </c>
      <c r="O49" s="15" t="s">
        <v>725</v>
      </c>
      <c r="P49" s="12" t="s">
        <v>332</v>
      </c>
      <c r="Q49" s="11" t="s">
        <v>726</v>
      </c>
      <c r="R49" s="11" t="s">
        <v>727</v>
      </c>
      <c r="S49" s="11" t="s">
        <v>118</v>
      </c>
      <c r="T49" s="12" t="s">
        <v>88</v>
      </c>
      <c r="U49" s="12" t="s">
        <v>728</v>
      </c>
      <c r="V49" s="12" t="s">
        <v>90</v>
      </c>
      <c r="W49" s="11" t="s">
        <v>729</v>
      </c>
      <c r="X49" s="12" t="s">
        <v>730</v>
      </c>
      <c r="Y49" s="11" t="s">
        <v>731</v>
      </c>
      <c r="Z49" s="11" t="s">
        <v>188</v>
      </c>
      <c r="AA49" s="11" t="s">
        <v>93</v>
      </c>
      <c r="AB49" s="11" t="s">
        <v>732</v>
      </c>
      <c r="AC49" s="11" t="s">
        <v>733</v>
      </c>
      <c r="AD49" s="11" t="s">
        <v>734</v>
      </c>
      <c r="AE49" s="11" t="s">
        <v>735</v>
      </c>
      <c r="AF49" s="11" t="s">
        <v>736</v>
      </c>
      <c r="AG49" s="11" t="s">
        <v>737</v>
      </c>
      <c r="AH49" s="11" t="s">
        <v>364</v>
      </c>
    </row>
    <row r="50" customFormat="false" ht="60" hidden="false" customHeight="true" outlineLevel="0" collapsed="false">
      <c r="A50" s="16" t="s">
        <v>205</v>
      </c>
      <c r="B50" s="27" t="n">
        <v>1</v>
      </c>
      <c r="C50" s="11" t="s">
        <v>73</v>
      </c>
      <c r="D50" s="12" t="s">
        <v>74</v>
      </c>
      <c r="E50" s="11" t="s">
        <v>738</v>
      </c>
      <c r="F50" s="11" t="s">
        <v>739</v>
      </c>
      <c r="G50" s="12"/>
      <c r="H50" s="11" t="s">
        <v>164</v>
      </c>
      <c r="I50" s="11" t="s">
        <v>165</v>
      </c>
      <c r="J50" s="25" t="s">
        <v>740</v>
      </c>
      <c r="K50" s="12" t="s">
        <v>515</v>
      </c>
      <c r="L50" s="12" t="s">
        <v>286</v>
      </c>
      <c r="M50" s="11" t="s">
        <v>302</v>
      </c>
      <c r="N50" s="11" t="s">
        <v>208</v>
      </c>
      <c r="O50" s="15" t="s">
        <v>741</v>
      </c>
      <c r="P50" s="12" t="s">
        <v>184</v>
      </c>
      <c r="Q50" s="11" t="s">
        <v>742</v>
      </c>
      <c r="R50" s="11" t="s">
        <v>743</v>
      </c>
      <c r="S50" s="11" t="s">
        <v>118</v>
      </c>
      <c r="T50" s="12" t="s">
        <v>88</v>
      </c>
      <c r="U50" s="12" t="s">
        <v>407</v>
      </c>
      <c r="V50" s="12" t="s">
        <v>90</v>
      </c>
      <c r="W50" s="11" t="s">
        <v>744</v>
      </c>
      <c r="X50" s="12" t="s">
        <v>165</v>
      </c>
      <c r="Y50" s="11" t="s">
        <v>745</v>
      </c>
      <c r="Z50" s="11" t="s">
        <v>746</v>
      </c>
      <c r="AA50" s="11" t="s">
        <v>522</v>
      </c>
      <c r="AB50" s="11" t="s">
        <v>747</v>
      </c>
      <c r="AC50" s="11" t="s">
        <v>748</v>
      </c>
      <c r="AD50" s="11" t="s">
        <v>749</v>
      </c>
      <c r="AE50" s="11" t="s">
        <v>174</v>
      </c>
      <c r="AF50" s="11" t="s">
        <v>750</v>
      </c>
      <c r="AG50" s="11" t="s">
        <v>751</v>
      </c>
      <c r="AH50" s="11" t="s">
        <v>98</v>
      </c>
    </row>
    <row r="51" customFormat="false" ht="60" hidden="false" customHeight="true" outlineLevel="0" collapsed="false">
      <c r="A51" s="21" t="s">
        <v>416</v>
      </c>
      <c r="B51" s="27" t="n">
        <v>1</v>
      </c>
      <c r="C51" s="11" t="s">
        <v>73</v>
      </c>
      <c r="D51" s="12" t="s">
        <v>74</v>
      </c>
      <c r="E51" s="11" t="s">
        <v>752</v>
      </c>
      <c r="F51" s="11" t="s">
        <v>753</v>
      </c>
      <c r="G51" s="13" t="n">
        <v>46341</v>
      </c>
      <c r="H51" s="11" t="s">
        <v>402</v>
      </c>
      <c r="I51" s="11" t="s">
        <v>682</v>
      </c>
      <c r="J51" s="17" t="s">
        <v>179</v>
      </c>
      <c r="K51" s="12" t="s">
        <v>165</v>
      </c>
      <c r="L51" s="12" t="s">
        <v>180</v>
      </c>
      <c r="M51" s="11" t="s">
        <v>181</v>
      </c>
      <c r="N51" s="11" t="s">
        <v>208</v>
      </c>
      <c r="O51" s="15" t="s">
        <v>754</v>
      </c>
      <c r="P51" s="12" t="s">
        <v>184</v>
      </c>
      <c r="Q51" s="11" t="s">
        <v>755</v>
      </c>
      <c r="R51" s="11" t="s">
        <v>86</v>
      </c>
      <c r="S51" s="11" t="s">
        <v>87</v>
      </c>
      <c r="T51" s="12" t="s">
        <v>88</v>
      </c>
      <c r="U51" s="12" t="s">
        <v>212</v>
      </c>
      <c r="V51" s="12" t="s">
        <v>90</v>
      </c>
      <c r="W51" s="11" t="s">
        <v>756</v>
      </c>
      <c r="X51" s="12" t="s">
        <v>108</v>
      </c>
      <c r="Y51" s="11" t="s">
        <v>757</v>
      </c>
      <c r="Z51" s="11" t="s">
        <v>188</v>
      </c>
      <c r="AA51" s="11" t="s">
        <v>93</v>
      </c>
      <c r="AB51" s="11" t="s">
        <v>758</v>
      </c>
      <c r="AC51" s="11" t="s">
        <v>759</v>
      </c>
      <c r="AD51" s="11" t="s">
        <v>760</v>
      </c>
      <c r="AE51" s="11" t="s">
        <v>95</v>
      </c>
      <c r="AF51" s="11" t="s">
        <v>761</v>
      </c>
      <c r="AG51" s="11" t="s">
        <v>762</v>
      </c>
      <c r="AH51" s="11" t="s">
        <v>98</v>
      </c>
    </row>
  </sheetData>
  <autoFilter ref="A1:AH51"/>
  <hyperlinks>
    <hyperlink ref="O2" r:id="rId1" display="https://csucareers.calstate.edu/en-us/job/559681/assistant-professor-of-information-systems-2-open-positions"/>
    <hyperlink ref="O3" r:id="rId2" display="https://hofstra.peopleadmin.com/postings/7620"/>
    <hyperlink ref="O4" r:id="rId3" display="https://careers.hprod.onehcm.usg.edu/psc/careers/CAREERS/HRMS/c/HRS_HRAM_FL.HRS_CG_SEARCH_FL.GBL?Page=HRS_APP_JBPST_FL&amp;Action=U&amp;FOCUS=Applicant&amp;SiteId=43000&amp;JobOpeningId=300876&amp;PostingSeq=1"/>
    <hyperlink ref="O5" r:id="rId4" display="https://careers.cpp.edu/po/en-us/job/558301/computer-information-systems-assistant-professor"/>
    <hyperlink ref="O6" r:id="rId5" display="https://miamioh.wd5.myworkdayjobs.com/en-US/miamioh-faculty/job/Assistant-or-Associate-Professor---Information-Systems_JR104290"/>
    <hyperlink ref="O7" r:id="rId6" display="https://jobs.sjsu.edu/en-us/job/562131/assistant-professor-school-of-information-systems-technology?1ApplicationSubSourceID=11266"/>
    <hyperlink ref="O8" r:id="rId7" display="https://utulsa.edu/departments/accounting-business-information-systems/"/>
    <hyperlink ref="O9" r:id="rId8" display="https://miamioh.wd5.myworkdayjobs.com/en-US/miamioh-faculty/job/Farmer-School-of-Business/Assistant-Professor_JR104289"/>
    <hyperlink ref="O10" r:id="rId9" display="https://www.udiversity.com/posting/7276573"/>
    <hyperlink ref="O11" r:id="rId10" display="https://www.sorce.jobs/jobs/information-systems-open-rank-tenure-track-or-college-faculty-acu-j1_dNadE8uIFSnXonoZpzLAelS3rzKqz2sjwpBl_DwxOmev1iGrFQ"/>
    <hyperlink ref="O12" r:id="rId11" display="https://jobs.chronicle.com/job/38027818/lowe-s-tech-distinguished-professor-and-program-director-in-cybersecurity/"/>
    <hyperlink ref="O13" r:id="rId12" display="https://jobs.chronicle.com/job/38043081/assistant-professor-of-information-systems-and-operations-management/"/>
    <hyperlink ref="O14" r:id="rId13" display="https://jobs.chronicle.com/job/38045010/assistant-professor-of-management-science-tenure-track-fall-2027/"/>
    <hyperlink ref="O15" r:id="rId14" display="https://home.hamptonu.edu/hr/2026/05/29/management-information-systems-mis-professor-department-of-business-administration-and-accounting/"/>
    <hyperlink ref="O16" r:id="rId15" display="https://jobs.chronicle.com/job/38045022/assistant-associate-professor-business-information-systems-and-analytics/"/>
    <hyperlink ref="O17" r:id="rId16" display="https://jobs.tsu.edu/postings/11719"/>
    <hyperlink ref="O18" r:id="rId17" display="https://www.disabledperson.com/jobs/75493209-tenure-track-faculty-management-information-systems"/>
    <hyperlink ref="O19" r:id="rId18" display="https://www.wmujobs.org/postings/3819"/>
    <hyperlink ref="O20" r:id="rId19" display="https://getmereferred.com/job-listing/assistant-associate-professor-of-business-analytics-illinois-tech-mumbai-campus-emeritus-mumbai-10-to-18-years-experience-293a27f9-b38a-4122-a1f2-30227cbfaacb"/>
    <hyperlink ref="O21" r:id="rId20" display="https://careers.hprod.onehcm.usg.edu/psc/careers/CAREERS/HRMS/c/HRS_HRAM_FL.HRS_CG_SEARCH_FL.GBL?Page=HRS_APP_JBPST_FL&amp;Action=U&amp;FOCUS=Applicant&amp;SiteId=12000&amp;JobOpeningId=290816&amp;PostingSeq=1"/>
    <hyperlink ref="O22" r:id="rId21" display="https://www.higheredjobs.com/faculty/details.cfm?JobCode=179415581"/>
    <hyperlink ref="O23" r:id="rId22" display="https://jobs.chronicle.com/job/38022740/tenure-track-faculty-accounting-and-information-systems/"/>
    <hyperlink ref="O24" r:id="rId23" display="https://www.astate.edu/college/business/faculty-staff/management-marketing/"/>
    <hyperlink ref="O25" r:id="rId24" display="https://www.bgsu.edu/business/faculty-and-staff/job-opportunities.html"/>
    <hyperlink ref="O26" r:id="rId25" display="https://jobs.chronicle.com/job/38031656/assistant-professor-tenure-track-accounting-and-information-systems/?TrackID=10"/>
    <hyperlink ref="O27" r:id="rId26" display="https://tamus.wd1.myworkdayjobs.com/System-wide_External"/>
    <hyperlink ref="O28" r:id="rId27" display="https://jobs.chronicle.com/job/37980105/tenure-track-faculty-position-with-a-focus-on-big-data-analytics-and-aviation-safety-in-the-school/"/>
    <hyperlink ref="O29" r:id="rId28" display="https://www.higheredjobs.com/institution/search.cfm?University=Tennessee+Tech+University"/>
    <hyperlink ref="O30" r:id="rId29" display="https://careers.insidehighered.com/job/3557057/assistant-professor-school-of-information-ethical-ai-information-generation-and-retrieval-a-/"/>
    <hyperlink ref="O31" r:id="rId30" display="https://jobs.chronicle.com/job/38038907/assistant-professor-marketing-and-business-analytics-business-analytics/"/>
    <hyperlink ref="O32" r:id="rId31" display="https://csucareers.calstate.edu/en-us/job/559626/assistant-professor-of-marketing"/>
    <hyperlink ref="O33" r:id="rId32" display="https://www.higheredjobs.com/faculty/details.cfm?JobCode=179544672"/>
    <hyperlink ref="O34" r:id="rId33" display="https://jobs.chronicle.com/job/37980193/tenure-track-faculty-position-with-a-focus-on-aviation-operations-and-machine-learning-ai-in-the/"/>
    <hyperlink ref="O35" r:id="rId34" display="https://www.iit.edu/computer-science/employment/tenuredtenure-track-faculty"/>
    <hyperlink ref="O36" r:id="rId35" display="https://marshall.peopleadmin.com/postings/32608"/>
    <hyperlink ref="O37" r:id="rId36" display="https://montclair.wd1.myworkdayjobs.com/en-US/JobOpportunities/job/Assistant-Professor--Management_R1005054"/>
    <hyperlink ref="O38" r:id="rId37" display="https://www.academicjobs.com/en-us/higher-education-news/oakland-university-jobs-2026-faculty-staff-openings-15490"/>
    <hyperlink ref="O39" r:id="rId38" display="https://careercenter.informs.org/q-faculty-member-jobs.html"/>
    <hyperlink ref="O40" r:id="rId39" display="https://jobs.hr.txstate.edu/postings/57536"/>
    <hyperlink ref="O41" r:id="rId40" display="https://www.umsl.edu/business/departments/supply-chain/index.html"/>
    <hyperlink ref="O42" r:id="rId41" display="https://spartantalent.uncg.edu/postings/35431"/>
    <hyperlink ref="O43" r:id="rId42" display="https://www.higheredjobs.com/details.cfm?JobCode=179287305"/>
    <hyperlink ref="O44" r:id="rId43" display="https://careers.insidehighered.com/job/3550748/assistant-professor-marketing/?TrackID=11"/>
    <hyperlink ref="O45" r:id="rId44" display="https://jobs.villanova.edu/postings/36537"/>
    <hyperlink ref="O46" r:id="rId45" display="https://careers.insidehighered.com/job/3557055/assistant-professor-school-of-information-youth-information-ecosystems-critical-technology-/"/>
    <hyperlink ref="O47" r:id="rId46" display="https://www.higheredjobs.com/faculty/details.cfm?JobCode=179434448"/>
    <hyperlink ref="O48" r:id="rId47" display="https://employment.marquette.edu/postings/25176"/>
    <hyperlink ref="O49" r:id="rId48" display="https://www.indeed.com/q-assistant-professors-l-fairbanks,-ak-jobs.html"/>
    <hyperlink ref="O50" r:id="rId49" display="https://uasys.wd5.myworkdayjobs.com/UASYS"/>
    <hyperlink ref="O51" r:id="rId50" display="https://careers.conbio.org/job/1317340/assistant-professor-of-business-economics/?TrackID=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22"/>
    <col collapsed="false" customWidth="true" hidden="false" outlineLevel="0" max="4" min="4" style="0" width="11"/>
    <col collapsed="false" customWidth="true" hidden="false" outlineLevel="0" max="5" min="5" style="0" width="22"/>
    <col collapsed="false" customWidth="true" hidden="false" outlineLevel="0" max="6" min="6" style="0" width="36"/>
    <col collapsed="false" customWidth="true" hidden="false" outlineLevel="0" max="7" min="7" style="0" width="11"/>
    <col collapsed="false" customWidth="true" hidden="false" outlineLevel="0" max="9" min="8" style="0" width="16"/>
    <col collapsed="false" customWidth="true" hidden="false" outlineLevel="0" max="10" min="10" style="0" width="30"/>
    <col collapsed="false" customWidth="true" hidden="false" outlineLevel="0" max="11" min="11" style="0" width="14"/>
    <col collapsed="false" customWidth="true" hidden="false" outlineLevel="0" max="12" min="12" style="0" width="13"/>
    <col collapsed="false" customWidth="true" hidden="false" outlineLevel="0" max="13" min="13" style="0" width="26"/>
    <col collapsed="false" customWidth="true" hidden="false" outlineLevel="0" max="14" min="14" style="0" width="30"/>
    <col collapsed="false" customWidth="true" hidden="false" outlineLevel="0" max="15" min="15" style="0" width="35"/>
    <col collapsed="false" customWidth="true" hidden="false" outlineLevel="0" max="16" min="16" style="0" width="11"/>
    <col collapsed="false" customWidth="true" hidden="false" outlineLevel="0" max="18" min="17" style="0" width="22"/>
    <col collapsed="false" customWidth="true" hidden="false" outlineLevel="0" max="19" min="19" style="0" width="16"/>
    <col collapsed="false" customWidth="true" hidden="false" outlineLevel="0" max="21" min="20" style="0" width="6"/>
    <col collapsed="false" customWidth="true" hidden="false" outlineLevel="0" max="22" min="22" style="0" width="11"/>
    <col collapsed="false" customWidth="true" hidden="false" outlineLevel="0" max="23" min="23" style="0" width="45"/>
    <col collapsed="false" customWidth="true" hidden="false" outlineLevel="0" max="24" min="24" style="0" width="14"/>
    <col collapsed="false" customWidth="true" hidden="false" outlineLevel="0" max="25" min="25" style="0" width="40"/>
    <col collapsed="false" customWidth="true" hidden="false" outlineLevel="0" max="26" min="26" style="0" width="22"/>
    <col collapsed="false" customWidth="true" hidden="false" outlineLevel="0" max="29" min="27" style="0" width="40"/>
    <col collapsed="false" customWidth="true" hidden="false" outlineLevel="0" max="30" min="30" style="0" width="45"/>
    <col collapsed="false" customWidth="true" hidden="false" outlineLevel="0" max="31" min="31" style="0" width="18"/>
    <col collapsed="false" customWidth="true" hidden="false" outlineLevel="0" max="32" min="32" style="0" width="30"/>
    <col collapsed="false" customWidth="true" hidden="false" outlineLevel="0" max="33" min="33" style="0" width="40"/>
    <col collapsed="false" customWidth="true" hidden="false" outlineLevel="0" max="34" min="34" style="0" width="16"/>
  </cols>
  <sheetData>
    <row r="1" customFormat="false" ht="42" hidden="false" customHeight="true" outlineLevel="0" collapsed="false">
      <c r="A1" s="8" t="s">
        <v>40</v>
      </c>
      <c r="B1" s="8" t="s">
        <v>41</v>
      </c>
      <c r="C1" s="8" t="s">
        <v>42</v>
      </c>
      <c r="D1" s="8" t="s">
        <v>43</v>
      </c>
      <c r="E1" s="8" t="s">
        <v>44</v>
      </c>
      <c r="F1" s="8" t="s">
        <v>45</v>
      </c>
      <c r="G1" s="8" t="s">
        <v>46</v>
      </c>
      <c r="H1" s="8" t="s">
        <v>47</v>
      </c>
      <c r="I1" s="8" t="s">
        <v>48</v>
      </c>
      <c r="J1" s="8" t="s">
        <v>49</v>
      </c>
      <c r="K1" s="8" t="s">
        <v>50</v>
      </c>
      <c r="L1" s="8" t="s">
        <v>51</v>
      </c>
      <c r="M1" s="8" t="s">
        <v>32</v>
      </c>
      <c r="N1" s="8" t="s">
        <v>52</v>
      </c>
      <c r="O1" s="8" t="s">
        <v>53</v>
      </c>
      <c r="P1" s="8" t="s">
        <v>54</v>
      </c>
      <c r="Q1" s="8" t="s">
        <v>55</v>
      </c>
      <c r="R1" s="8" t="s">
        <v>56</v>
      </c>
      <c r="S1" s="8" t="s">
        <v>57</v>
      </c>
      <c r="T1" s="8" t="s">
        <v>58</v>
      </c>
      <c r="U1" s="8" t="s">
        <v>59</v>
      </c>
      <c r="V1" s="8" t="s">
        <v>60</v>
      </c>
      <c r="W1" s="8" t="s">
        <v>61</v>
      </c>
      <c r="X1" s="8" t="s">
        <v>62</v>
      </c>
      <c r="Y1" s="8" t="s">
        <v>63</v>
      </c>
      <c r="Z1" s="8" t="s">
        <v>64</v>
      </c>
      <c r="AA1" s="8" t="s">
        <v>65</v>
      </c>
      <c r="AB1" s="8" t="s">
        <v>66</v>
      </c>
      <c r="AC1" s="8" t="s">
        <v>67</v>
      </c>
      <c r="AD1" s="8" t="s">
        <v>68</v>
      </c>
      <c r="AE1" s="8" t="s">
        <v>69</v>
      </c>
      <c r="AF1" s="8" t="s">
        <v>70</v>
      </c>
      <c r="AG1" s="8" t="s">
        <v>71</v>
      </c>
      <c r="AH1" s="8" t="s">
        <v>34</v>
      </c>
    </row>
    <row r="2" customFormat="false" ht="60" hidden="false" customHeight="true" outlineLevel="0" collapsed="false">
      <c r="A2" s="23" t="s">
        <v>763</v>
      </c>
      <c r="B2" s="28" t="n">
        <v>0</v>
      </c>
      <c r="C2" s="11" t="s">
        <v>73</v>
      </c>
      <c r="D2" s="12" t="s">
        <v>74</v>
      </c>
      <c r="E2" s="11" t="s">
        <v>764</v>
      </c>
      <c r="F2" s="11" t="s">
        <v>765</v>
      </c>
      <c r="G2" s="13" t="n">
        <v>46310</v>
      </c>
      <c r="H2" s="11" t="s">
        <v>77</v>
      </c>
      <c r="I2" s="11" t="s">
        <v>78</v>
      </c>
      <c r="J2" s="26" t="s">
        <v>541</v>
      </c>
      <c r="K2" s="12" t="s">
        <v>542</v>
      </c>
      <c r="L2" s="12" t="s">
        <v>542</v>
      </c>
      <c r="M2" s="11" t="s">
        <v>181</v>
      </c>
      <c r="N2" s="11" t="s">
        <v>208</v>
      </c>
      <c r="O2" s="15" t="s">
        <v>766</v>
      </c>
      <c r="P2" s="12" t="s">
        <v>767</v>
      </c>
      <c r="Q2" s="11" t="s">
        <v>768</v>
      </c>
      <c r="R2" s="11" t="s">
        <v>769</v>
      </c>
      <c r="S2" s="11" t="s">
        <v>87</v>
      </c>
      <c r="T2" s="12" t="s">
        <v>88</v>
      </c>
      <c r="U2" s="12" t="s">
        <v>355</v>
      </c>
      <c r="V2" s="12" t="s">
        <v>90</v>
      </c>
      <c r="W2" s="11" t="s">
        <v>770</v>
      </c>
      <c r="X2" s="12" t="s">
        <v>771</v>
      </c>
      <c r="Y2" s="11"/>
      <c r="Z2" s="11" t="s">
        <v>542</v>
      </c>
      <c r="AA2" s="11" t="s">
        <v>549</v>
      </c>
      <c r="AB2" s="11"/>
      <c r="AC2" s="11"/>
      <c r="AD2" s="11" t="s">
        <v>772</v>
      </c>
      <c r="AE2" s="11" t="s">
        <v>95</v>
      </c>
      <c r="AF2" s="11" t="s">
        <v>773</v>
      </c>
      <c r="AG2" s="11" t="s">
        <v>774</v>
      </c>
      <c r="AH2" s="11" t="s">
        <v>98</v>
      </c>
    </row>
    <row r="3" customFormat="false" ht="60" hidden="false" customHeight="true" outlineLevel="0" collapsed="false">
      <c r="A3" s="23" t="s">
        <v>501</v>
      </c>
      <c r="B3" s="28" t="n">
        <v>0</v>
      </c>
      <c r="C3" s="11" t="s">
        <v>73</v>
      </c>
      <c r="D3" s="12" t="s">
        <v>74</v>
      </c>
      <c r="E3" s="11" t="s">
        <v>775</v>
      </c>
      <c r="F3" s="11" t="s">
        <v>776</v>
      </c>
      <c r="G3" s="13" t="n">
        <v>46310</v>
      </c>
      <c r="H3" s="11" t="s">
        <v>402</v>
      </c>
      <c r="I3" s="11" t="s">
        <v>777</v>
      </c>
      <c r="J3" s="26" t="s">
        <v>541</v>
      </c>
      <c r="K3" s="12" t="s">
        <v>542</v>
      </c>
      <c r="L3" s="12" t="s">
        <v>542</v>
      </c>
      <c r="M3" s="11" t="s">
        <v>181</v>
      </c>
      <c r="N3" s="11" t="s">
        <v>208</v>
      </c>
      <c r="O3" s="15" t="s">
        <v>778</v>
      </c>
      <c r="P3" s="12" t="s">
        <v>544</v>
      </c>
      <c r="Q3" s="11" t="s">
        <v>779</v>
      </c>
      <c r="R3" s="11" t="s">
        <v>780</v>
      </c>
      <c r="S3" s="11" t="s">
        <v>781</v>
      </c>
      <c r="T3" s="12" t="s">
        <v>88</v>
      </c>
      <c r="U3" s="12" t="s">
        <v>229</v>
      </c>
      <c r="V3" s="12" t="s">
        <v>90</v>
      </c>
      <c r="W3" s="11" t="s">
        <v>782</v>
      </c>
      <c r="X3" s="12" t="s">
        <v>783</v>
      </c>
      <c r="Y3" s="11"/>
      <c r="Z3" s="11" t="s">
        <v>542</v>
      </c>
      <c r="AA3" s="11" t="s">
        <v>549</v>
      </c>
      <c r="AB3" s="11"/>
      <c r="AC3" s="11"/>
      <c r="AD3" s="11" t="s">
        <v>784</v>
      </c>
      <c r="AE3" s="11" t="s">
        <v>735</v>
      </c>
      <c r="AF3" s="11" t="s">
        <v>785</v>
      </c>
      <c r="AG3" s="11" t="s">
        <v>786</v>
      </c>
      <c r="AH3" s="11" t="s">
        <v>364</v>
      </c>
    </row>
    <row r="4" customFormat="false" ht="60" hidden="false" customHeight="true" outlineLevel="0" collapsed="false">
      <c r="A4" s="23" t="s">
        <v>501</v>
      </c>
      <c r="B4" s="28" t="n">
        <v>0</v>
      </c>
      <c r="C4" s="11" t="s">
        <v>73</v>
      </c>
      <c r="D4" s="12" t="s">
        <v>74</v>
      </c>
      <c r="E4" s="11" t="s">
        <v>787</v>
      </c>
      <c r="F4" s="11" t="s">
        <v>788</v>
      </c>
      <c r="G4" s="13" t="n">
        <v>46311</v>
      </c>
      <c r="H4" s="11" t="s">
        <v>402</v>
      </c>
      <c r="I4" s="11" t="s">
        <v>503</v>
      </c>
      <c r="J4" s="26" t="s">
        <v>541</v>
      </c>
      <c r="K4" s="12" t="s">
        <v>542</v>
      </c>
      <c r="L4" s="12" t="s">
        <v>542</v>
      </c>
      <c r="M4" s="11" t="s">
        <v>181</v>
      </c>
      <c r="N4" s="11" t="s">
        <v>208</v>
      </c>
      <c r="O4" s="15" t="s">
        <v>789</v>
      </c>
      <c r="P4" s="12" t="s">
        <v>544</v>
      </c>
      <c r="Q4" s="11" t="s">
        <v>790</v>
      </c>
      <c r="R4" s="11" t="s">
        <v>791</v>
      </c>
      <c r="S4" s="11" t="s">
        <v>598</v>
      </c>
      <c r="T4" s="12" t="s">
        <v>88</v>
      </c>
      <c r="U4" s="12" t="s">
        <v>145</v>
      </c>
      <c r="V4" s="12" t="s">
        <v>90</v>
      </c>
      <c r="W4" s="11" t="s">
        <v>792</v>
      </c>
      <c r="X4" s="12" t="s">
        <v>793</v>
      </c>
      <c r="Y4" s="11"/>
      <c r="Z4" s="11" t="s">
        <v>542</v>
      </c>
      <c r="AA4" s="11" t="s">
        <v>549</v>
      </c>
      <c r="AB4" s="11"/>
      <c r="AC4" s="11"/>
      <c r="AD4" s="11" t="s">
        <v>794</v>
      </c>
      <c r="AE4" s="11" t="s">
        <v>95</v>
      </c>
      <c r="AF4" s="11" t="s">
        <v>795</v>
      </c>
      <c r="AG4" s="11" t="s">
        <v>786</v>
      </c>
      <c r="AH4" s="11" t="s">
        <v>364</v>
      </c>
    </row>
    <row r="5" customFormat="false" ht="60" hidden="false" customHeight="true" outlineLevel="0" collapsed="false">
      <c r="A5" s="23" t="s">
        <v>763</v>
      </c>
      <c r="B5" s="28" t="n">
        <v>0</v>
      </c>
      <c r="C5" s="11" t="s">
        <v>73</v>
      </c>
      <c r="D5" s="12" t="s">
        <v>74</v>
      </c>
      <c r="E5" s="11" t="s">
        <v>796</v>
      </c>
      <c r="F5" s="11" t="s">
        <v>797</v>
      </c>
      <c r="G5" s="13" t="n">
        <v>46313</v>
      </c>
      <c r="H5" s="11" t="s">
        <v>77</v>
      </c>
      <c r="I5" s="11" t="s">
        <v>78</v>
      </c>
      <c r="J5" s="26" t="s">
        <v>798</v>
      </c>
      <c r="K5" s="12" t="s">
        <v>542</v>
      </c>
      <c r="L5" s="12" t="s">
        <v>542</v>
      </c>
      <c r="M5" s="11" t="s">
        <v>181</v>
      </c>
      <c r="N5" s="11" t="s">
        <v>208</v>
      </c>
      <c r="O5" s="15" t="s">
        <v>799</v>
      </c>
      <c r="P5" s="12" t="s">
        <v>767</v>
      </c>
      <c r="Q5" s="11" t="s">
        <v>714</v>
      </c>
      <c r="R5" s="11" t="s">
        <v>800</v>
      </c>
      <c r="S5" s="11" t="s">
        <v>801</v>
      </c>
      <c r="T5" s="12" t="s">
        <v>88</v>
      </c>
      <c r="U5" s="12" t="s">
        <v>802</v>
      </c>
      <c r="V5" s="12" t="s">
        <v>90</v>
      </c>
      <c r="W5" s="11" t="s">
        <v>803</v>
      </c>
      <c r="X5" s="12" t="s">
        <v>108</v>
      </c>
      <c r="Y5" s="11"/>
      <c r="Z5" s="11" t="s">
        <v>542</v>
      </c>
      <c r="AA5" s="11" t="s">
        <v>549</v>
      </c>
      <c r="AB5" s="11"/>
      <c r="AC5" s="11"/>
      <c r="AD5" s="11" t="s">
        <v>804</v>
      </c>
      <c r="AE5" s="11" t="s">
        <v>95</v>
      </c>
      <c r="AF5" s="11"/>
      <c r="AG5" s="11" t="s">
        <v>805</v>
      </c>
      <c r="AH5" s="11" t="s">
        <v>98</v>
      </c>
    </row>
    <row r="6" customFormat="false" ht="60" hidden="false" customHeight="true" outlineLevel="0" collapsed="false">
      <c r="A6" s="16" t="s">
        <v>177</v>
      </c>
      <c r="B6" s="28" t="n">
        <v>0</v>
      </c>
      <c r="C6" s="11" t="s">
        <v>73</v>
      </c>
      <c r="D6" s="12" t="s">
        <v>74</v>
      </c>
      <c r="E6" s="11" t="s">
        <v>806</v>
      </c>
      <c r="F6" s="11" t="s">
        <v>807</v>
      </c>
      <c r="G6" s="13" t="n">
        <v>46251</v>
      </c>
      <c r="H6" s="11" t="s">
        <v>77</v>
      </c>
      <c r="I6" s="11" t="s">
        <v>78</v>
      </c>
      <c r="J6" s="26" t="s">
        <v>541</v>
      </c>
      <c r="K6" s="12" t="s">
        <v>542</v>
      </c>
      <c r="L6" s="12" t="s">
        <v>542</v>
      </c>
      <c r="M6" s="11" t="s">
        <v>379</v>
      </c>
      <c r="N6" s="11" t="s">
        <v>208</v>
      </c>
      <c r="O6" s="15" t="s">
        <v>808</v>
      </c>
      <c r="P6" s="12" t="s">
        <v>767</v>
      </c>
      <c r="Q6" s="11" t="s">
        <v>809</v>
      </c>
      <c r="R6" s="11" t="s">
        <v>131</v>
      </c>
      <c r="S6" s="11" t="s">
        <v>118</v>
      </c>
      <c r="T6" s="12" t="s">
        <v>88</v>
      </c>
      <c r="U6" s="12" t="s">
        <v>810</v>
      </c>
      <c r="V6" s="12" t="s">
        <v>90</v>
      </c>
      <c r="W6" s="11" t="s">
        <v>811</v>
      </c>
      <c r="X6" s="12" t="s">
        <v>812</v>
      </c>
      <c r="Y6" s="11"/>
      <c r="Z6" s="11" t="s">
        <v>542</v>
      </c>
      <c r="AA6" s="11" t="s">
        <v>549</v>
      </c>
      <c r="AB6" s="11"/>
      <c r="AC6" s="11"/>
      <c r="AD6" s="11" t="s">
        <v>813</v>
      </c>
      <c r="AE6" s="11" t="s">
        <v>95</v>
      </c>
      <c r="AF6" s="11" t="s">
        <v>814</v>
      </c>
      <c r="AG6" s="11" t="s">
        <v>815</v>
      </c>
      <c r="AH6" s="11" t="s">
        <v>98</v>
      </c>
    </row>
    <row r="7" customFormat="false" ht="60" hidden="false" customHeight="true" outlineLevel="0" collapsed="false">
      <c r="A7" s="16" t="s">
        <v>177</v>
      </c>
      <c r="B7" s="28" t="n">
        <v>0</v>
      </c>
      <c r="C7" s="11" t="s">
        <v>73</v>
      </c>
      <c r="D7" s="12" t="s">
        <v>74</v>
      </c>
      <c r="E7" s="11" t="s">
        <v>816</v>
      </c>
      <c r="F7" s="11" t="s">
        <v>817</v>
      </c>
      <c r="G7" s="13" t="n">
        <v>46276</v>
      </c>
      <c r="H7" s="11" t="s">
        <v>818</v>
      </c>
      <c r="I7" s="11" t="s">
        <v>819</v>
      </c>
      <c r="J7" s="26" t="s">
        <v>541</v>
      </c>
      <c r="K7" s="12" t="s">
        <v>542</v>
      </c>
      <c r="L7" s="12" t="s">
        <v>542</v>
      </c>
      <c r="M7" s="11" t="s">
        <v>181</v>
      </c>
      <c r="N7" s="11" t="s">
        <v>208</v>
      </c>
      <c r="O7" s="15" t="s">
        <v>820</v>
      </c>
      <c r="P7" s="12" t="s">
        <v>544</v>
      </c>
      <c r="Q7" s="11" t="s">
        <v>821</v>
      </c>
      <c r="R7" s="11" t="s">
        <v>86</v>
      </c>
      <c r="S7" s="11" t="s">
        <v>291</v>
      </c>
      <c r="T7" s="12" t="s">
        <v>88</v>
      </c>
      <c r="U7" s="12" t="s">
        <v>145</v>
      </c>
      <c r="V7" s="12" t="s">
        <v>90</v>
      </c>
      <c r="W7" s="11" t="s">
        <v>822</v>
      </c>
      <c r="X7" s="12" t="s">
        <v>823</v>
      </c>
      <c r="Y7" s="11"/>
      <c r="Z7" s="11" t="s">
        <v>542</v>
      </c>
      <c r="AA7" s="11" t="s">
        <v>549</v>
      </c>
      <c r="AB7" s="11"/>
      <c r="AC7" s="11"/>
      <c r="AD7" s="11" t="s">
        <v>824</v>
      </c>
      <c r="AE7" s="11" t="s">
        <v>95</v>
      </c>
      <c r="AF7" s="11" t="s">
        <v>825</v>
      </c>
      <c r="AG7" s="11" t="s">
        <v>786</v>
      </c>
      <c r="AH7" s="11" t="s">
        <v>364</v>
      </c>
    </row>
    <row r="8" customFormat="false" ht="60" hidden="false" customHeight="true" outlineLevel="0" collapsed="false">
      <c r="A8" s="16" t="s">
        <v>177</v>
      </c>
      <c r="B8" s="28" t="n">
        <v>0</v>
      </c>
      <c r="C8" s="11" t="s">
        <v>73</v>
      </c>
      <c r="D8" s="12" t="s">
        <v>74</v>
      </c>
      <c r="E8" s="11" t="s">
        <v>826</v>
      </c>
      <c r="F8" s="11" t="s">
        <v>827</v>
      </c>
      <c r="G8" s="13" t="n">
        <v>46296</v>
      </c>
      <c r="H8" s="11" t="s">
        <v>818</v>
      </c>
      <c r="I8" s="11" t="s">
        <v>828</v>
      </c>
      <c r="J8" s="26" t="s">
        <v>541</v>
      </c>
      <c r="K8" s="12" t="s">
        <v>542</v>
      </c>
      <c r="L8" s="12" t="s">
        <v>542</v>
      </c>
      <c r="M8" s="11" t="s">
        <v>181</v>
      </c>
      <c r="N8" s="11" t="s">
        <v>208</v>
      </c>
      <c r="O8" s="15" t="s">
        <v>829</v>
      </c>
      <c r="P8" s="12" t="s">
        <v>544</v>
      </c>
      <c r="Q8" s="11" t="s">
        <v>830</v>
      </c>
      <c r="R8" s="11" t="s">
        <v>831</v>
      </c>
      <c r="S8" s="11" t="s">
        <v>87</v>
      </c>
      <c r="T8" s="12" t="s">
        <v>88</v>
      </c>
      <c r="U8" s="12" t="s">
        <v>89</v>
      </c>
      <c r="V8" s="12" t="s">
        <v>90</v>
      </c>
      <c r="W8" s="11" t="s">
        <v>832</v>
      </c>
      <c r="X8" s="12" t="s">
        <v>108</v>
      </c>
      <c r="Y8" s="11"/>
      <c r="Z8" s="11" t="s">
        <v>542</v>
      </c>
      <c r="AA8" s="11" t="s">
        <v>549</v>
      </c>
      <c r="AB8" s="11"/>
      <c r="AC8" s="11"/>
      <c r="AD8" s="11" t="s">
        <v>833</v>
      </c>
      <c r="AE8" s="11" t="s">
        <v>95</v>
      </c>
      <c r="AF8" s="11" t="s">
        <v>834</v>
      </c>
      <c r="AG8" s="11" t="s">
        <v>786</v>
      </c>
      <c r="AH8" s="11" t="s">
        <v>364</v>
      </c>
    </row>
    <row r="9" customFormat="false" ht="60" hidden="false" customHeight="true" outlineLevel="0" collapsed="false">
      <c r="A9" s="16" t="s">
        <v>177</v>
      </c>
      <c r="B9" s="28" t="n">
        <v>0</v>
      </c>
      <c r="C9" s="11" t="s">
        <v>73</v>
      </c>
      <c r="D9" s="12" t="s">
        <v>74</v>
      </c>
      <c r="E9" s="11" t="s">
        <v>826</v>
      </c>
      <c r="F9" s="11" t="s">
        <v>835</v>
      </c>
      <c r="G9" s="13" t="n">
        <v>46296</v>
      </c>
      <c r="H9" s="11" t="s">
        <v>77</v>
      </c>
      <c r="I9" s="11" t="s">
        <v>78</v>
      </c>
      <c r="J9" s="26" t="s">
        <v>541</v>
      </c>
      <c r="K9" s="12" t="s">
        <v>542</v>
      </c>
      <c r="L9" s="12" t="s">
        <v>542</v>
      </c>
      <c r="M9" s="11" t="s">
        <v>181</v>
      </c>
      <c r="N9" s="11" t="s">
        <v>208</v>
      </c>
      <c r="O9" s="15" t="s">
        <v>834</v>
      </c>
      <c r="P9" s="12" t="s">
        <v>544</v>
      </c>
      <c r="Q9" s="11" t="s">
        <v>714</v>
      </c>
      <c r="R9" s="11" t="s">
        <v>831</v>
      </c>
      <c r="S9" s="11" t="s">
        <v>118</v>
      </c>
      <c r="T9" s="12" t="s">
        <v>88</v>
      </c>
      <c r="U9" s="12" t="s">
        <v>89</v>
      </c>
      <c r="V9" s="12" t="s">
        <v>90</v>
      </c>
      <c r="W9" s="11" t="s">
        <v>836</v>
      </c>
      <c r="X9" s="12" t="s">
        <v>108</v>
      </c>
      <c r="Y9" s="11"/>
      <c r="Z9" s="11" t="s">
        <v>542</v>
      </c>
      <c r="AA9" s="11" t="s">
        <v>549</v>
      </c>
      <c r="AB9" s="11"/>
      <c r="AC9" s="11"/>
      <c r="AD9" s="11" t="s">
        <v>837</v>
      </c>
      <c r="AE9" s="11" t="s">
        <v>174</v>
      </c>
      <c r="AF9" s="11"/>
      <c r="AG9" s="11" t="s">
        <v>838</v>
      </c>
      <c r="AH9" s="11" t="s">
        <v>344</v>
      </c>
    </row>
    <row r="10" customFormat="false" ht="60" hidden="false" customHeight="true" outlineLevel="0" collapsed="false">
      <c r="A10" s="16" t="s">
        <v>205</v>
      </c>
      <c r="B10" s="28" t="n">
        <v>0</v>
      </c>
      <c r="C10" s="11" t="s">
        <v>73</v>
      </c>
      <c r="D10" s="12" t="s">
        <v>74</v>
      </c>
      <c r="E10" s="11" t="s">
        <v>839</v>
      </c>
      <c r="F10" s="11" t="s">
        <v>840</v>
      </c>
      <c r="G10" s="13" t="n">
        <v>46477</v>
      </c>
      <c r="H10" s="11" t="s">
        <v>347</v>
      </c>
      <c r="I10" s="11" t="s">
        <v>841</v>
      </c>
      <c r="J10" s="26" t="s">
        <v>541</v>
      </c>
      <c r="K10" s="12" t="s">
        <v>542</v>
      </c>
      <c r="L10" s="12" t="s">
        <v>542</v>
      </c>
      <c r="M10" s="11" t="s">
        <v>379</v>
      </c>
      <c r="N10" s="11" t="s">
        <v>208</v>
      </c>
      <c r="O10" s="15" t="s">
        <v>842</v>
      </c>
      <c r="P10" s="12" t="s">
        <v>544</v>
      </c>
      <c r="Q10" s="11" t="s">
        <v>843</v>
      </c>
      <c r="R10" s="11" t="s">
        <v>844</v>
      </c>
      <c r="S10" s="11" t="s">
        <v>845</v>
      </c>
      <c r="T10" s="12" t="s">
        <v>88</v>
      </c>
      <c r="U10" s="12" t="s">
        <v>89</v>
      </c>
      <c r="V10" s="12" t="s">
        <v>90</v>
      </c>
      <c r="W10" s="11" t="s">
        <v>846</v>
      </c>
      <c r="X10" s="12" t="s">
        <v>847</v>
      </c>
      <c r="Y10" s="11"/>
      <c r="Z10" s="11" t="s">
        <v>542</v>
      </c>
      <c r="AA10" s="11" t="s">
        <v>549</v>
      </c>
      <c r="AB10" s="11"/>
      <c r="AC10" s="11"/>
      <c r="AD10" s="11" t="s">
        <v>848</v>
      </c>
      <c r="AE10" s="11" t="s">
        <v>174</v>
      </c>
      <c r="AF10" s="11" t="s">
        <v>849</v>
      </c>
      <c r="AG10" s="11" t="s">
        <v>850</v>
      </c>
      <c r="AH10" s="11" t="s">
        <v>98</v>
      </c>
    </row>
    <row r="11" customFormat="false" ht="60" hidden="false" customHeight="true" outlineLevel="0" collapsed="false">
      <c r="A11" s="16" t="s">
        <v>205</v>
      </c>
      <c r="B11" s="28" t="n">
        <v>0</v>
      </c>
      <c r="C11" s="11" t="s">
        <v>73</v>
      </c>
      <c r="D11" s="12" t="s">
        <v>74</v>
      </c>
      <c r="E11" s="11" t="s">
        <v>851</v>
      </c>
      <c r="F11" s="11" t="s">
        <v>852</v>
      </c>
      <c r="G11" s="12"/>
      <c r="H11" s="11" t="s">
        <v>164</v>
      </c>
      <c r="I11" s="11" t="s">
        <v>853</v>
      </c>
      <c r="J11" s="26" t="s">
        <v>541</v>
      </c>
      <c r="K11" s="12" t="s">
        <v>542</v>
      </c>
      <c r="L11" s="12" t="s">
        <v>542</v>
      </c>
      <c r="M11" s="11" t="s">
        <v>302</v>
      </c>
      <c r="N11" s="11" t="s">
        <v>208</v>
      </c>
      <c r="O11" s="15" t="s">
        <v>854</v>
      </c>
      <c r="P11" s="12" t="s">
        <v>544</v>
      </c>
      <c r="Q11" s="11" t="s">
        <v>855</v>
      </c>
      <c r="R11" s="11" t="s">
        <v>856</v>
      </c>
      <c r="S11" s="11" t="s">
        <v>845</v>
      </c>
      <c r="T11" s="12" t="s">
        <v>88</v>
      </c>
      <c r="U11" s="12" t="s">
        <v>89</v>
      </c>
      <c r="V11" s="12" t="s">
        <v>90</v>
      </c>
      <c r="W11" s="11" t="s">
        <v>857</v>
      </c>
      <c r="X11" s="12" t="s">
        <v>853</v>
      </c>
      <c r="Y11" s="11"/>
      <c r="Z11" s="11" t="s">
        <v>542</v>
      </c>
      <c r="AA11" s="11" t="s">
        <v>549</v>
      </c>
      <c r="AB11" s="11"/>
      <c r="AC11" s="11"/>
      <c r="AD11" s="11" t="s">
        <v>858</v>
      </c>
      <c r="AE11" s="11" t="s">
        <v>95</v>
      </c>
      <c r="AF11" s="11" t="s">
        <v>859</v>
      </c>
      <c r="AG11" s="11" t="s">
        <v>786</v>
      </c>
      <c r="AH11" s="11" t="s">
        <v>364</v>
      </c>
    </row>
    <row r="12" customFormat="false" ht="60" hidden="false" customHeight="true" outlineLevel="0" collapsed="false">
      <c r="A12" s="16" t="s">
        <v>205</v>
      </c>
      <c r="B12" s="28" t="n">
        <v>0</v>
      </c>
      <c r="C12" s="11" t="s">
        <v>73</v>
      </c>
      <c r="D12" s="12" t="s">
        <v>74</v>
      </c>
      <c r="E12" s="11" t="s">
        <v>860</v>
      </c>
      <c r="F12" s="11" t="s">
        <v>861</v>
      </c>
      <c r="G12" s="12"/>
      <c r="H12" s="11" t="s">
        <v>164</v>
      </c>
      <c r="I12" s="11" t="s">
        <v>853</v>
      </c>
      <c r="J12" s="26" t="s">
        <v>541</v>
      </c>
      <c r="K12" s="12" t="s">
        <v>542</v>
      </c>
      <c r="L12" s="12" t="s">
        <v>542</v>
      </c>
      <c r="M12" s="11" t="s">
        <v>181</v>
      </c>
      <c r="N12" s="11" t="s">
        <v>208</v>
      </c>
      <c r="O12" s="15" t="s">
        <v>862</v>
      </c>
      <c r="P12" s="12" t="s">
        <v>544</v>
      </c>
      <c r="Q12" s="11" t="s">
        <v>863</v>
      </c>
      <c r="R12" s="11" t="s">
        <v>864</v>
      </c>
      <c r="S12" s="11" t="s">
        <v>865</v>
      </c>
      <c r="T12" s="12" t="s">
        <v>88</v>
      </c>
      <c r="U12" s="12" t="s">
        <v>810</v>
      </c>
      <c r="V12" s="12" t="s">
        <v>90</v>
      </c>
      <c r="W12" s="11" t="s">
        <v>866</v>
      </c>
      <c r="X12" s="12" t="s">
        <v>108</v>
      </c>
      <c r="Y12" s="11"/>
      <c r="Z12" s="11" t="s">
        <v>542</v>
      </c>
      <c r="AA12" s="11" t="s">
        <v>549</v>
      </c>
      <c r="AB12" s="11"/>
      <c r="AC12" s="11"/>
      <c r="AD12" s="11" t="s">
        <v>867</v>
      </c>
      <c r="AE12" s="11" t="s">
        <v>95</v>
      </c>
      <c r="AF12" s="11" t="s">
        <v>868</v>
      </c>
      <c r="AG12" s="11" t="s">
        <v>786</v>
      </c>
      <c r="AH12" s="11" t="s">
        <v>364</v>
      </c>
    </row>
    <row r="13" customFormat="false" ht="60" hidden="false" customHeight="true" outlineLevel="0" collapsed="false">
      <c r="A13" s="16" t="s">
        <v>205</v>
      </c>
      <c r="B13" s="28" t="n">
        <v>0</v>
      </c>
      <c r="C13" s="11" t="s">
        <v>73</v>
      </c>
      <c r="D13" s="12" t="s">
        <v>74</v>
      </c>
      <c r="E13" s="11" t="s">
        <v>764</v>
      </c>
      <c r="F13" s="11" t="s">
        <v>869</v>
      </c>
      <c r="G13" s="12"/>
      <c r="H13" s="11" t="s">
        <v>164</v>
      </c>
      <c r="I13" s="11" t="s">
        <v>165</v>
      </c>
      <c r="J13" s="26" t="s">
        <v>541</v>
      </c>
      <c r="K13" s="12" t="s">
        <v>542</v>
      </c>
      <c r="L13" s="12" t="s">
        <v>542</v>
      </c>
      <c r="M13" s="11" t="s">
        <v>181</v>
      </c>
      <c r="N13" s="11" t="s">
        <v>208</v>
      </c>
      <c r="O13" s="15" t="s">
        <v>870</v>
      </c>
      <c r="P13" s="12" t="s">
        <v>544</v>
      </c>
      <c r="Q13" s="11" t="s">
        <v>518</v>
      </c>
      <c r="R13" s="11" t="s">
        <v>769</v>
      </c>
      <c r="S13" s="11" t="s">
        <v>87</v>
      </c>
      <c r="T13" s="12" t="s">
        <v>88</v>
      </c>
      <c r="U13" s="12" t="s">
        <v>355</v>
      </c>
      <c r="V13" s="12" t="s">
        <v>90</v>
      </c>
      <c r="W13" s="11" t="s">
        <v>871</v>
      </c>
      <c r="X13" s="12" t="s">
        <v>771</v>
      </c>
      <c r="Y13" s="11"/>
      <c r="Z13" s="11" t="s">
        <v>542</v>
      </c>
      <c r="AA13" s="11" t="s">
        <v>549</v>
      </c>
      <c r="AB13" s="11"/>
      <c r="AC13" s="11"/>
      <c r="AD13" s="11" t="s">
        <v>872</v>
      </c>
      <c r="AE13" s="11" t="s">
        <v>95</v>
      </c>
      <c r="AF13" s="11" t="s">
        <v>873</v>
      </c>
      <c r="AG13" s="11" t="s">
        <v>874</v>
      </c>
      <c r="AH13" s="11" t="s">
        <v>98</v>
      </c>
    </row>
    <row r="14" customFormat="false" ht="60" hidden="false" customHeight="true" outlineLevel="0" collapsed="false">
      <c r="A14" s="16" t="s">
        <v>205</v>
      </c>
      <c r="B14" s="28" t="n">
        <v>0</v>
      </c>
      <c r="C14" s="11" t="s">
        <v>73</v>
      </c>
      <c r="D14" s="12" t="s">
        <v>74</v>
      </c>
      <c r="E14" s="11" t="s">
        <v>875</v>
      </c>
      <c r="F14" s="11" t="s">
        <v>876</v>
      </c>
      <c r="G14" s="12"/>
      <c r="H14" s="11" t="s">
        <v>164</v>
      </c>
      <c r="I14" s="11" t="s">
        <v>165</v>
      </c>
      <c r="J14" s="26" t="s">
        <v>541</v>
      </c>
      <c r="K14" s="12" t="s">
        <v>542</v>
      </c>
      <c r="L14" s="12" t="s">
        <v>542</v>
      </c>
      <c r="M14" s="11" t="s">
        <v>302</v>
      </c>
      <c r="N14" s="11" t="s">
        <v>208</v>
      </c>
      <c r="O14" s="15" t="s">
        <v>877</v>
      </c>
      <c r="P14" s="12" t="s">
        <v>544</v>
      </c>
      <c r="Q14" s="11" t="s">
        <v>878</v>
      </c>
      <c r="R14" s="11" t="s">
        <v>879</v>
      </c>
      <c r="S14" s="11" t="s">
        <v>880</v>
      </c>
      <c r="T14" s="12" t="s">
        <v>88</v>
      </c>
      <c r="U14" s="12" t="s">
        <v>465</v>
      </c>
      <c r="V14" s="12" t="s">
        <v>90</v>
      </c>
      <c r="W14" s="11" t="s">
        <v>881</v>
      </c>
      <c r="X14" s="12" t="s">
        <v>165</v>
      </c>
      <c r="Y14" s="11"/>
      <c r="Z14" s="11" t="s">
        <v>542</v>
      </c>
      <c r="AA14" s="11" t="s">
        <v>549</v>
      </c>
      <c r="AB14" s="11"/>
      <c r="AC14" s="11"/>
      <c r="AD14" s="11" t="s">
        <v>882</v>
      </c>
      <c r="AE14" s="11" t="s">
        <v>237</v>
      </c>
      <c r="AF14" s="11" t="s">
        <v>883</v>
      </c>
      <c r="AG14" s="11" t="s">
        <v>884</v>
      </c>
      <c r="AH14" s="11" t="s">
        <v>98</v>
      </c>
    </row>
    <row r="15" customFormat="false" ht="60" hidden="false" customHeight="true" outlineLevel="0" collapsed="false">
      <c r="A15" s="16" t="s">
        <v>205</v>
      </c>
      <c r="B15" s="28" t="n">
        <v>0</v>
      </c>
      <c r="C15" s="11" t="s">
        <v>73</v>
      </c>
      <c r="D15" s="12" t="s">
        <v>74</v>
      </c>
      <c r="E15" s="11" t="s">
        <v>885</v>
      </c>
      <c r="F15" s="11" t="s">
        <v>886</v>
      </c>
      <c r="G15" s="12"/>
      <c r="H15" s="11" t="s">
        <v>164</v>
      </c>
      <c r="I15" s="11" t="s">
        <v>165</v>
      </c>
      <c r="J15" s="26" t="s">
        <v>541</v>
      </c>
      <c r="K15" s="12" t="s">
        <v>542</v>
      </c>
      <c r="L15" s="12" t="s">
        <v>542</v>
      </c>
      <c r="M15" s="11" t="s">
        <v>379</v>
      </c>
      <c r="N15" s="11" t="s">
        <v>208</v>
      </c>
      <c r="O15" s="15" t="s">
        <v>887</v>
      </c>
      <c r="P15" s="12" t="s">
        <v>544</v>
      </c>
      <c r="Q15" s="11" t="s">
        <v>888</v>
      </c>
      <c r="R15" s="11" t="s">
        <v>889</v>
      </c>
      <c r="S15" s="11" t="s">
        <v>890</v>
      </c>
      <c r="T15" s="12" t="s">
        <v>88</v>
      </c>
      <c r="U15" s="12" t="s">
        <v>106</v>
      </c>
      <c r="V15" s="12" t="s">
        <v>90</v>
      </c>
      <c r="W15" s="11" t="s">
        <v>891</v>
      </c>
      <c r="X15" s="12" t="s">
        <v>892</v>
      </c>
      <c r="Y15" s="11"/>
      <c r="Z15" s="11" t="s">
        <v>542</v>
      </c>
      <c r="AA15" s="11" t="s">
        <v>549</v>
      </c>
      <c r="AB15" s="11"/>
      <c r="AC15" s="11"/>
      <c r="AD15" s="11" t="s">
        <v>893</v>
      </c>
      <c r="AE15" s="11" t="s">
        <v>174</v>
      </c>
      <c r="AF15" s="11" t="s">
        <v>894</v>
      </c>
      <c r="AG15" s="11" t="s">
        <v>895</v>
      </c>
      <c r="AH15" s="11" t="s">
        <v>98</v>
      </c>
    </row>
    <row r="16" customFormat="false" ht="60" hidden="false" customHeight="true" outlineLevel="0" collapsed="false">
      <c r="A16" s="16" t="s">
        <v>205</v>
      </c>
      <c r="B16" s="28" t="n">
        <v>0</v>
      </c>
      <c r="C16" s="11" t="s">
        <v>73</v>
      </c>
      <c r="D16" s="12" t="s">
        <v>74</v>
      </c>
      <c r="E16" s="11" t="s">
        <v>896</v>
      </c>
      <c r="F16" s="11" t="s">
        <v>897</v>
      </c>
      <c r="G16" s="12"/>
      <c r="H16" s="11" t="s">
        <v>164</v>
      </c>
      <c r="I16" s="11" t="s">
        <v>853</v>
      </c>
      <c r="J16" s="26" t="s">
        <v>541</v>
      </c>
      <c r="K16" s="12" t="s">
        <v>542</v>
      </c>
      <c r="L16" s="12" t="s">
        <v>542</v>
      </c>
      <c r="M16" s="11" t="s">
        <v>181</v>
      </c>
      <c r="N16" s="11" t="s">
        <v>208</v>
      </c>
      <c r="O16" s="15" t="s">
        <v>898</v>
      </c>
      <c r="P16" s="12" t="s">
        <v>544</v>
      </c>
      <c r="Q16" s="11" t="s">
        <v>899</v>
      </c>
      <c r="R16" s="11" t="s">
        <v>900</v>
      </c>
      <c r="S16" s="11" t="s">
        <v>118</v>
      </c>
      <c r="T16" s="12" t="s">
        <v>88</v>
      </c>
      <c r="U16" s="12" t="s">
        <v>119</v>
      </c>
      <c r="V16" s="12" t="s">
        <v>90</v>
      </c>
      <c r="W16" s="11" t="s">
        <v>901</v>
      </c>
      <c r="X16" s="12" t="s">
        <v>902</v>
      </c>
      <c r="Y16" s="11"/>
      <c r="Z16" s="11" t="s">
        <v>542</v>
      </c>
      <c r="AA16" s="11" t="s">
        <v>549</v>
      </c>
      <c r="AB16" s="11"/>
      <c r="AC16" s="11"/>
      <c r="AD16" s="11" t="s">
        <v>903</v>
      </c>
      <c r="AE16" s="11" t="s">
        <v>174</v>
      </c>
      <c r="AF16" s="11"/>
      <c r="AG16" s="11" t="s">
        <v>786</v>
      </c>
      <c r="AH16" s="11" t="s">
        <v>364</v>
      </c>
    </row>
    <row r="17" customFormat="false" ht="60" hidden="false" customHeight="true" outlineLevel="0" collapsed="false">
      <c r="A17" s="16" t="s">
        <v>205</v>
      </c>
      <c r="B17" s="28" t="n">
        <v>0</v>
      </c>
      <c r="C17" s="11" t="s">
        <v>73</v>
      </c>
      <c r="D17" s="12" t="s">
        <v>74</v>
      </c>
      <c r="E17" s="11" t="s">
        <v>904</v>
      </c>
      <c r="F17" s="11" t="s">
        <v>905</v>
      </c>
      <c r="G17" s="12"/>
      <c r="H17" s="11" t="s">
        <v>164</v>
      </c>
      <c r="I17" s="11" t="s">
        <v>165</v>
      </c>
      <c r="J17" s="26" t="s">
        <v>541</v>
      </c>
      <c r="K17" s="12" t="s">
        <v>542</v>
      </c>
      <c r="L17" s="12" t="s">
        <v>542</v>
      </c>
      <c r="M17" s="11" t="s">
        <v>379</v>
      </c>
      <c r="N17" s="11" t="s">
        <v>208</v>
      </c>
      <c r="O17" s="15" t="s">
        <v>906</v>
      </c>
      <c r="P17" s="12" t="s">
        <v>544</v>
      </c>
      <c r="Q17" s="11" t="s">
        <v>907</v>
      </c>
      <c r="R17" s="11" t="s">
        <v>86</v>
      </c>
      <c r="S17" s="11" t="s">
        <v>118</v>
      </c>
      <c r="T17" s="12" t="s">
        <v>88</v>
      </c>
      <c r="U17" s="12" t="s">
        <v>355</v>
      </c>
      <c r="V17" s="12" t="s">
        <v>90</v>
      </c>
      <c r="W17" s="11" t="s">
        <v>908</v>
      </c>
      <c r="X17" s="12" t="s">
        <v>909</v>
      </c>
      <c r="Y17" s="11"/>
      <c r="Z17" s="11" t="s">
        <v>542</v>
      </c>
      <c r="AA17" s="11" t="s">
        <v>549</v>
      </c>
      <c r="AB17" s="11"/>
      <c r="AC17" s="11"/>
      <c r="AD17" s="11" t="s">
        <v>910</v>
      </c>
      <c r="AE17" s="11" t="s">
        <v>95</v>
      </c>
      <c r="AF17" s="11" t="s">
        <v>911</v>
      </c>
      <c r="AG17" s="11" t="s">
        <v>912</v>
      </c>
      <c r="AH17" s="11" t="s">
        <v>98</v>
      </c>
    </row>
    <row r="18" customFormat="false" ht="60" hidden="false" customHeight="true" outlineLevel="0" collapsed="false">
      <c r="A18" s="16" t="s">
        <v>205</v>
      </c>
      <c r="B18" s="28" t="n">
        <v>0</v>
      </c>
      <c r="C18" s="11" t="s">
        <v>73</v>
      </c>
      <c r="D18" s="12" t="s">
        <v>74</v>
      </c>
      <c r="E18" s="11" t="s">
        <v>913</v>
      </c>
      <c r="F18" s="11" t="s">
        <v>914</v>
      </c>
      <c r="G18" s="12"/>
      <c r="H18" s="11" t="s">
        <v>164</v>
      </c>
      <c r="I18" s="11" t="s">
        <v>853</v>
      </c>
      <c r="J18" s="26" t="s">
        <v>541</v>
      </c>
      <c r="K18" s="12" t="s">
        <v>542</v>
      </c>
      <c r="L18" s="12" t="s">
        <v>542</v>
      </c>
      <c r="M18" s="11" t="s">
        <v>302</v>
      </c>
      <c r="N18" s="11" t="s">
        <v>208</v>
      </c>
      <c r="O18" s="15" t="s">
        <v>915</v>
      </c>
      <c r="P18" s="12" t="s">
        <v>544</v>
      </c>
      <c r="Q18" s="11" t="s">
        <v>916</v>
      </c>
      <c r="R18" s="11" t="s">
        <v>86</v>
      </c>
      <c r="S18" s="11" t="s">
        <v>845</v>
      </c>
      <c r="T18" s="12" t="s">
        <v>88</v>
      </c>
      <c r="U18" s="12" t="s">
        <v>917</v>
      </c>
      <c r="V18" s="12" t="s">
        <v>90</v>
      </c>
      <c r="W18" s="11" t="s">
        <v>918</v>
      </c>
      <c r="X18" s="12" t="s">
        <v>853</v>
      </c>
      <c r="Y18" s="11"/>
      <c r="Z18" s="11" t="s">
        <v>542</v>
      </c>
      <c r="AA18" s="11" t="s">
        <v>549</v>
      </c>
      <c r="AB18" s="11"/>
      <c r="AC18" s="11"/>
      <c r="AD18" s="11" t="s">
        <v>919</v>
      </c>
      <c r="AE18" s="11" t="s">
        <v>735</v>
      </c>
      <c r="AF18" s="11" t="s">
        <v>920</v>
      </c>
      <c r="AG18" s="11" t="s">
        <v>786</v>
      </c>
      <c r="AH18" s="11" t="s">
        <v>364</v>
      </c>
    </row>
    <row r="19" customFormat="false" ht="60" hidden="false" customHeight="true" outlineLevel="0" collapsed="false">
      <c r="A19" s="16" t="s">
        <v>205</v>
      </c>
      <c r="B19" s="28" t="n">
        <v>0</v>
      </c>
      <c r="C19" s="11" t="s">
        <v>73</v>
      </c>
      <c r="D19" s="12" t="s">
        <v>74</v>
      </c>
      <c r="E19" s="11" t="s">
        <v>913</v>
      </c>
      <c r="F19" s="11" t="s">
        <v>921</v>
      </c>
      <c r="G19" s="12"/>
      <c r="H19" s="11" t="s">
        <v>164</v>
      </c>
      <c r="I19" s="11" t="s">
        <v>853</v>
      </c>
      <c r="J19" s="26" t="s">
        <v>541</v>
      </c>
      <c r="K19" s="12" t="s">
        <v>542</v>
      </c>
      <c r="L19" s="12" t="s">
        <v>542</v>
      </c>
      <c r="M19" s="11" t="s">
        <v>302</v>
      </c>
      <c r="N19" s="11" t="s">
        <v>208</v>
      </c>
      <c r="O19" s="15" t="s">
        <v>915</v>
      </c>
      <c r="P19" s="12" t="s">
        <v>544</v>
      </c>
      <c r="Q19" s="11" t="s">
        <v>922</v>
      </c>
      <c r="R19" s="11" t="s">
        <v>86</v>
      </c>
      <c r="S19" s="11" t="s">
        <v>845</v>
      </c>
      <c r="T19" s="12" t="s">
        <v>88</v>
      </c>
      <c r="U19" s="12" t="s">
        <v>917</v>
      </c>
      <c r="V19" s="12" t="s">
        <v>90</v>
      </c>
      <c r="W19" s="11" t="s">
        <v>918</v>
      </c>
      <c r="X19" s="12" t="s">
        <v>853</v>
      </c>
      <c r="Y19" s="11"/>
      <c r="Z19" s="11" t="s">
        <v>542</v>
      </c>
      <c r="AA19" s="11" t="s">
        <v>549</v>
      </c>
      <c r="AB19" s="11"/>
      <c r="AC19" s="11"/>
      <c r="AD19" s="11" t="s">
        <v>923</v>
      </c>
      <c r="AE19" s="11" t="s">
        <v>735</v>
      </c>
      <c r="AF19" s="11" t="s">
        <v>920</v>
      </c>
      <c r="AG19" s="11" t="s">
        <v>786</v>
      </c>
      <c r="AH19" s="11" t="s">
        <v>364</v>
      </c>
    </row>
    <row r="20" customFormat="false" ht="60" hidden="false" customHeight="true" outlineLevel="0" collapsed="false">
      <c r="A20" s="16" t="s">
        <v>205</v>
      </c>
      <c r="B20" s="28" t="n">
        <v>0</v>
      </c>
      <c r="C20" s="11" t="s">
        <v>73</v>
      </c>
      <c r="D20" s="12" t="s">
        <v>74</v>
      </c>
      <c r="E20" s="11" t="s">
        <v>924</v>
      </c>
      <c r="F20" s="11" t="s">
        <v>925</v>
      </c>
      <c r="G20" s="12"/>
      <c r="H20" s="11" t="s">
        <v>164</v>
      </c>
      <c r="I20" s="11" t="s">
        <v>165</v>
      </c>
      <c r="J20" s="26" t="s">
        <v>541</v>
      </c>
      <c r="K20" s="12" t="s">
        <v>542</v>
      </c>
      <c r="L20" s="12" t="s">
        <v>542</v>
      </c>
      <c r="M20" s="11" t="s">
        <v>181</v>
      </c>
      <c r="N20" s="11" t="s">
        <v>208</v>
      </c>
      <c r="O20" s="15" t="s">
        <v>926</v>
      </c>
      <c r="P20" s="12" t="s">
        <v>544</v>
      </c>
      <c r="Q20" s="11" t="s">
        <v>843</v>
      </c>
      <c r="R20" s="11" t="s">
        <v>86</v>
      </c>
      <c r="S20" s="11" t="s">
        <v>927</v>
      </c>
      <c r="T20" s="12" t="s">
        <v>88</v>
      </c>
      <c r="U20" s="12" t="s">
        <v>274</v>
      </c>
      <c r="V20" s="12" t="s">
        <v>90</v>
      </c>
      <c r="W20" s="11" t="s">
        <v>928</v>
      </c>
      <c r="X20" s="12" t="s">
        <v>929</v>
      </c>
      <c r="Y20" s="11"/>
      <c r="Z20" s="11" t="s">
        <v>542</v>
      </c>
      <c r="AA20" s="11" t="s">
        <v>549</v>
      </c>
      <c r="AB20" s="11"/>
      <c r="AC20" s="11"/>
      <c r="AD20" s="11" t="s">
        <v>930</v>
      </c>
      <c r="AE20" s="11" t="s">
        <v>95</v>
      </c>
      <c r="AF20" s="11"/>
      <c r="AG20" s="11" t="s">
        <v>931</v>
      </c>
      <c r="AH20" s="11" t="s">
        <v>98</v>
      </c>
    </row>
    <row r="21" customFormat="false" ht="60" hidden="false" customHeight="true" outlineLevel="0" collapsed="false">
      <c r="A21" s="16" t="s">
        <v>205</v>
      </c>
      <c r="B21" s="28" t="n">
        <v>0</v>
      </c>
      <c r="C21" s="11" t="s">
        <v>73</v>
      </c>
      <c r="D21" s="12" t="s">
        <v>74</v>
      </c>
      <c r="E21" s="11" t="s">
        <v>932</v>
      </c>
      <c r="F21" s="11" t="s">
        <v>933</v>
      </c>
      <c r="G21" s="12"/>
      <c r="H21" s="11" t="s">
        <v>164</v>
      </c>
      <c r="I21" s="11" t="s">
        <v>357</v>
      </c>
      <c r="J21" s="26" t="s">
        <v>541</v>
      </c>
      <c r="K21" s="12" t="s">
        <v>542</v>
      </c>
      <c r="L21" s="12" t="s">
        <v>542</v>
      </c>
      <c r="M21" s="11" t="s">
        <v>181</v>
      </c>
      <c r="N21" s="11" t="s">
        <v>208</v>
      </c>
      <c r="O21" s="15" t="s">
        <v>934</v>
      </c>
      <c r="P21" s="12" t="s">
        <v>544</v>
      </c>
      <c r="Q21" s="11" t="s">
        <v>935</v>
      </c>
      <c r="R21" s="11" t="s">
        <v>131</v>
      </c>
      <c r="S21" s="11" t="s">
        <v>87</v>
      </c>
      <c r="T21" s="12" t="s">
        <v>88</v>
      </c>
      <c r="U21" s="12" t="s">
        <v>89</v>
      </c>
      <c r="V21" s="12" t="s">
        <v>90</v>
      </c>
      <c r="W21" s="11" t="s">
        <v>936</v>
      </c>
      <c r="X21" s="12" t="s">
        <v>937</v>
      </c>
      <c r="Y21" s="11"/>
      <c r="Z21" s="11" t="s">
        <v>542</v>
      </c>
      <c r="AA21" s="11" t="s">
        <v>549</v>
      </c>
      <c r="AB21" s="11"/>
      <c r="AC21" s="11"/>
      <c r="AD21" s="11" t="s">
        <v>938</v>
      </c>
      <c r="AE21" s="11" t="s">
        <v>237</v>
      </c>
      <c r="AF21" s="11" t="s">
        <v>939</v>
      </c>
      <c r="AG21" s="11" t="s">
        <v>786</v>
      </c>
      <c r="AH21" s="11" t="s">
        <v>364</v>
      </c>
    </row>
    <row r="22" customFormat="false" ht="60" hidden="false" customHeight="true" outlineLevel="0" collapsed="false">
      <c r="A22" s="16" t="s">
        <v>205</v>
      </c>
      <c r="B22" s="28" t="n">
        <v>0</v>
      </c>
      <c r="C22" s="11" t="s">
        <v>73</v>
      </c>
      <c r="D22" s="12" t="s">
        <v>74</v>
      </c>
      <c r="E22" s="11" t="s">
        <v>567</v>
      </c>
      <c r="F22" s="11" t="s">
        <v>940</v>
      </c>
      <c r="G22" s="12"/>
      <c r="H22" s="11" t="s">
        <v>139</v>
      </c>
      <c r="I22" s="11" t="s">
        <v>78</v>
      </c>
      <c r="J22" s="26" t="s">
        <v>541</v>
      </c>
      <c r="K22" s="12" t="s">
        <v>542</v>
      </c>
      <c r="L22" s="12" t="s">
        <v>542</v>
      </c>
      <c r="M22" s="11" t="s">
        <v>379</v>
      </c>
      <c r="N22" s="11" t="s">
        <v>208</v>
      </c>
      <c r="O22" s="15" t="s">
        <v>569</v>
      </c>
      <c r="P22" s="12" t="s">
        <v>767</v>
      </c>
      <c r="Q22" s="11" t="s">
        <v>941</v>
      </c>
      <c r="R22" s="11" t="s">
        <v>571</v>
      </c>
      <c r="S22" s="11" t="s">
        <v>118</v>
      </c>
      <c r="T22" s="12" t="s">
        <v>88</v>
      </c>
      <c r="U22" s="12" t="s">
        <v>572</v>
      </c>
      <c r="V22" s="12" t="s">
        <v>90</v>
      </c>
      <c r="W22" s="11" t="s">
        <v>942</v>
      </c>
      <c r="X22" s="12" t="s">
        <v>943</v>
      </c>
      <c r="Y22" s="11"/>
      <c r="Z22" s="11" t="s">
        <v>542</v>
      </c>
      <c r="AA22" s="11" t="s">
        <v>549</v>
      </c>
      <c r="AB22" s="11"/>
      <c r="AC22" s="11"/>
      <c r="AD22" s="11" t="s">
        <v>944</v>
      </c>
      <c r="AE22" s="11" t="s">
        <v>95</v>
      </c>
      <c r="AF22" s="11" t="s">
        <v>945</v>
      </c>
      <c r="AG22" s="11" t="s">
        <v>946</v>
      </c>
      <c r="AH22" s="11" t="s">
        <v>98</v>
      </c>
    </row>
    <row r="23" customFormat="false" ht="60" hidden="false" customHeight="true" outlineLevel="0" collapsed="false">
      <c r="A23" s="16" t="s">
        <v>205</v>
      </c>
      <c r="B23" s="28" t="n">
        <v>0</v>
      </c>
      <c r="C23" s="11" t="s">
        <v>73</v>
      </c>
      <c r="D23" s="12" t="s">
        <v>74</v>
      </c>
      <c r="E23" s="11" t="s">
        <v>947</v>
      </c>
      <c r="F23" s="11" t="s">
        <v>948</v>
      </c>
      <c r="G23" s="12"/>
      <c r="H23" s="11" t="s">
        <v>164</v>
      </c>
      <c r="I23" s="11" t="s">
        <v>949</v>
      </c>
      <c r="J23" s="26" t="s">
        <v>541</v>
      </c>
      <c r="K23" s="12" t="s">
        <v>542</v>
      </c>
      <c r="L23" s="12" t="s">
        <v>542</v>
      </c>
      <c r="M23" s="11" t="s">
        <v>181</v>
      </c>
      <c r="N23" s="11" t="s">
        <v>208</v>
      </c>
      <c r="O23" s="15" t="s">
        <v>950</v>
      </c>
      <c r="P23" s="12" t="s">
        <v>544</v>
      </c>
      <c r="Q23" s="11" t="s">
        <v>951</v>
      </c>
      <c r="R23" s="11" t="s">
        <v>952</v>
      </c>
      <c r="S23" s="11" t="s">
        <v>118</v>
      </c>
      <c r="T23" s="12" t="s">
        <v>88</v>
      </c>
      <c r="U23" s="12" t="s">
        <v>953</v>
      </c>
      <c r="V23" s="12" t="s">
        <v>90</v>
      </c>
      <c r="W23" s="11" t="s">
        <v>954</v>
      </c>
      <c r="X23" s="12" t="s">
        <v>955</v>
      </c>
      <c r="Y23" s="11"/>
      <c r="Z23" s="11" t="s">
        <v>542</v>
      </c>
      <c r="AA23" s="11" t="s">
        <v>549</v>
      </c>
      <c r="AB23" s="11"/>
      <c r="AC23" s="11"/>
      <c r="AD23" s="11" t="s">
        <v>956</v>
      </c>
      <c r="AE23" s="11" t="s">
        <v>95</v>
      </c>
      <c r="AF23" s="11" t="s">
        <v>957</v>
      </c>
      <c r="AG23" s="11" t="s">
        <v>786</v>
      </c>
      <c r="AH23" s="11" t="s">
        <v>364</v>
      </c>
    </row>
    <row r="24" customFormat="false" ht="60" hidden="false" customHeight="true" outlineLevel="0" collapsed="false">
      <c r="A24" s="16" t="s">
        <v>205</v>
      </c>
      <c r="B24" s="28" t="n">
        <v>0</v>
      </c>
      <c r="C24" s="11" t="s">
        <v>73</v>
      </c>
      <c r="D24" s="12" t="s">
        <v>74</v>
      </c>
      <c r="E24" s="11" t="s">
        <v>431</v>
      </c>
      <c r="F24" s="11" t="s">
        <v>958</v>
      </c>
      <c r="G24" s="12"/>
      <c r="H24" s="11" t="s">
        <v>164</v>
      </c>
      <c r="I24" s="11" t="s">
        <v>165</v>
      </c>
      <c r="J24" s="17" t="s">
        <v>179</v>
      </c>
      <c r="K24" s="12" t="s">
        <v>165</v>
      </c>
      <c r="L24" s="12" t="s">
        <v>180</v>
      </c>
      <c r="M24" s="11" t="s">
        <v>181</v>
      </c>
      <c r="N24" s="11" t="s">
        <v>208</v>
      </c>
      <c r="O24" s="15" t="s">
        <v>959</v>
      </c>
      <c r="P24" s="12" t="s">
        <v>184</v>
      </c>
      <c r="Q24" s="11" t="s">
        <v>960</v>
      </c>
      <c r="R24" s="11" t="s">
        <v>961</v>
      </c>
      <c r="S24" s="11" t="s">
        <v>962</v>
      </c>
      <c r="T24" s="12" t="s">
        <v>88</v>
      </c>
      <c r="U24" s="12" t="s">
        <v>436</v>
      </c>
      <c r="V24" s="12" t="s">
        <v>90</v>
      </c>
      <c r="W24" s="11" t="s">
        <v>963</v>
      </c>
      <c r="X24" s="12" t="s">
        <v>108</v>
      </c>
      <c r="Y24" s="11" t="s">
        <v>964</v>
      </c>
      <c r="Z24" s="11" t="s">
        <v>188</v>
      </c>
      <c r="AA24" s="11" t="s">
        <v>93</v>
      </c>
      <c r="AB24" s="11" t="s">
        <v>965</v>
      </c>
      <c r="AC24" s="11" t="s">
        <v>966</v>
      </c>
      <c r="AD24" s="11" t="s">
        <v>967</v>
      </c>
      <c r="AE24" s="11" t="s">
        <v>95</v>
      </c>
      <c r="AF24" s="11"/>
      <c r="AG24" s="11" t="s">
        <v>968</v>
      </c>
      <c r="AH24" s="11" t="s">
        <v>364</v>
      </c>
    </row>
    <row r="25" customFormat="false" ht="60" hidden="false" customHeight="true" outlineLevel="0" collapsed="false">
      <c r="A25" s="16" t="s">
        <v>205</v>
      </c>
      <c r="B25" s="28" t="n">
        <v>0</v>
      </c>
      <c r="C25" s="11" t="s">
        <v>73</v>
      </c>
      <c r="D25" s="12" t="s">
        <v>74</v>
      </c>
      <c r="E25" s="11" t="s">
        <v>969</v>
      </c>
      <c r="F25" s="11" t="s">
        <v>970</v>
      </c>
      <c r="G25" s="12"/>
      <c r="H25" s="11" t="s">
        <v>164</v>
      </c>
      <c r="I25" s="11" t="s">
        <v>853</v>
      </c>
      <c r="J25" s="26" t="s">
        <v>541</v>
      </c>
      <c r="K25" s="12" t="s">
        <v>542</v>
      </c>
      <c r="L25" s="12" t="s">
        <v>542</v>
      </c>
      <c r="M25" s="11" t="s">
        <v>181</v>
      </c>
      <c r="N25" s="11" t="s">
        <v>208</v>
      </c>
      <c r="O25" s="15" t="s">
        <v>971</v>
      </c>
      <c r="P25" s="12" t="s">
        <v>544</v>
      </c>
      <c r="Q25" s="11" t="s">
        <v>843</v>
      </c>
      <c r="R25" s="11" t="s">
        <v>972</v>
      </c>
      <c r="S25" s="11" t="s">
        <v>87</v>
      </c>
      <c r="T25" s="12" t="s">
        <v>88</v>
      </c>
      <c r="U25" s="12" t="s">
        <v>320</v>
      </c>
      <c r="V25" s="12" t="s">
        <v>90</v>
      </c>
      <c r="W25" s="11" t="s">
        <v>973</v>
      </c>
      <c r="X25" s="12" t="s">
        <v>823</v>
      </c>
      <c r="Y25" s="11"/>
      <c r="Z25" s="11" t="s">
        <v>542</v>
      </c>
      <c r="AA25" s="11" t="s">
        <v>549</v>
      </c>
      <c r="AB25" s="11"/>
      <c r="AC25" s="11"/>
      <c r="AD25" s="11" t="s">
        <v>974</v>
      </c>
      <c r="AE25" s="11" t="s">
        <v>95</v>
      </c>
      <c r="AF25" s="11" t="s">
        <v>975</v>
      </c>
      <c r="AG25" s="11" t="s">
        <v>786</v>
      </c>
      <c r="AH25" s="11" t="s">
        <v>364</v>
      </c>
    </row>
    <row r="26" customFormat="false" ht="60" hidden="false" customHeight="true" outlineLevel="0" collapsed="false">
      <c r="A26" s="16" t="s">
        <v>205</v>
      </c>
      <c r="B26" s="28" t="n">
        <v>0</v>
      </c>
      <c r="C26" s="11" t="s">
        <v>73</v>
      </c>
      <c r="D26" s="12" t="s">
        <v>74</v>
      </c>
      <c r="E26" s="11" t="s">
        <v>976</v>
      </c>
      <c r="F26" s="11" t="s">
        <v>977</v>
      </c>
      <c r="G26" s="12"/>
      <c r="H26" s="11" t="s">
        <v>164</v>
      </c>
      <c r="I26" s="11" t="s">
        <v>978</v>
      </c>
      <c r="J26" s="26" t="s">
        <v>541</v>
      </c>
      <c r="K26" s="12" t="s">
        <v>542</v>
      </c>
      <c r="L26" s="12" t="s">
        <v>542</v>
      </c>
      <c r="M26" s="11" t="s">
        <v>181</v>
      </c>
      <c r="N26" s="11" t="s">
        <v>208</v>
      </c>
      <c r="O26" s="15" t="s">
        <v>979</v>
      </c>
      <c r="P26" s="12" t="s">
        <v>544</v>
      </c>
      <c r="Q26" s="11" t="s">
        <v>980</v>
      </c>
      <c r="R26" s="11" t="s">
        <v>981</v>
      </c>
      <c r="S26" s="11" t="s">
        <v>118</v>
      </c>
      <c r="T26" s="12" t="s">
        <v>88</v>
      </c>
      <c r="U26" s="12" t="s">
        <v>436</v>
      </c>
      <c r="V26" s="12" t="s">
        <v>466</v>
      </c>
      <c r="W26" s="11" t="s">
        <v>982</v>
      </c>
      <c r="X26" s="12" t="s">
        <v>823</v>
      </c>
      <c r="Y26" s="11"/>
      <c r="Z26" s="11" t="s">
        <v>542</v>
      </c>
      <c r="AA26" s="11" t="s">
        <v>549</v>
      </c>
      <c r="AB26" s="11"/>
      <c r="AC26" s="11"/>
      <c r="AD26" s="11" t="s">
        <v>983</v>
      </c>
      <c r="AE26" s="11" t="s">
        <v>237</v>
      </c>
      <c r="AF26" s="11"/>
      <c r="AG26" s="11" t="s">
        <v>838</v>
      </c>
      <c r="AH26" s="11" t="s">
        <v>344</v>
      </c>
    </row>
    <row r="27" customFormat="false" ht="60" hidden="false" customHeight="true" outlineLevel="0" collapsed="false">
      <c r="A27" s="16" t="s">
        <v>205</v>
      </c>
      <c r="B27" s="28" t="n">
        <v>0</v>
      </c>
      <c r="C27" s="11" t="s">
        <v>73</v>
      </c>
      <c r="D27" s="12" t="s">
        <v>74</v>
      </c>
      <c r="E27" s="11" t="s">
        <v>984</v>
      </c>
      <c r="F27" s="11" t="s">
        <v>905</v>
      </c>
      <c r="G27" s="12"/>
      <c r="H27" s="11" t="s">
        <v>164</v>
      </c>
      <c r="I27" s="11" t="s">
        <v>613</v>
      </c>
      <c r="J27" s="26" t="s">
        <v>541</v>
      </c>
      <c r="K27" s="12" t="s">
        <v>542</v>
      </c>
      <c r="L27" s="12" t="s">
        <v>542</v>
      </c>
      <c r="M27" s="11" t="s">
        <v>302</v>
      </c>
      <c r="N27" s="11" t="s">
        <v>208</v>
      </c>
      <c r="O27" s="15" t="s">
        <v>985</v>
      </c>
      <c r="P27" s="12" t="s">
        <v>544</v>
      </c>
      <c r="Q27" s="11" t="s">
        <v>986</v>
      </c>
      <c r="R27" s="11" t="s">
        <v>987</v>
      </c>
      <c r="S27" s="11" t="s">
        <v>118</v>
      </c>
      <c r="T27" s="12" t="s">
        <v>88</v>
      </c>
      <c r="U27" s="12" t="s">
        <v>988</v>
      </c>
      <c r="V27" s="12" t="s">
        <v>90</v>
      </c>
      <c r="W27" s="11" t="s">
        <v>989</v>
      </c>
      <c r="X27" s="12" t="s">
        <v>613</v>
      </c>
      <c r="Y27" s="11"/>
      <c r="Z27" s="11" t="s">
        <v>542</v>
      </c>
      <c r="AA27" s="11" t="s">
        <v>549</v>
      </c>
      <c r="AB27" s="11"/>
      <c r="AC27" s="11"/>
      <c r="AD27" s="11" t="s">
        <v>990</v>
      </c>
      <c r="AE27" s="11" t="s">
        <v>174</v>
      </c>
      <c r="AF27" s="11" t="s">
        <v>991</v>
      </c>
      <c r="AG27" s="11" t="s">
        <v>838</v>
      </c>
      <c r="AH27" s="11" t="s">
        <v>344</v>
      </c>
    </row>
    <row r="28" customFormat="false" ht="60" hidden="false" customHeight="true" outlineLevel="0" collapsed="false">
      <c r="A28" s="16" t="s">
        <v>205</v>
      </c>
      <c r="B28" s="28" t="n">
        <v>0</v>
      </c>
      <c r="C28" s="11" t="s">
        <v>73</v>
      </c>
      <c r="D28" s="12" t="s">
        <v>74</v>
      </c>
      <c r="E28" s="11" t="s">
        <v>992</v>
      </c>
      <c r="F28" s="11" t="s">
        <v>993</v>
      </c>
      <c r="G28" s="12"/>
      <c r="H28" s="11" t="s">
        <v>164</v>
      </c>
      <c r="I28" s="11" t="s">
        <v>853</v>
      </c>
      <c r="J28" s="26" t="s">
        <v>541</v>
      </c>
      <c r="K28" s="12" t="s">
        <v>542</v>
      </c>
      <c r="L28" s="12" t="s">
        <v>542</v>
      </c>
      <c r="M28" s="11" t="s">
        <v>379</v>
      </c>
      <c r="N28" s="11" t="s">
        <v>208</v>
      </c>
      <c r="O28" s="15" t="s">
        <v>994</v>
      </c>
      <c r="P28" s="12" t="s">
        <v>544</v>
      </c>
      <c r="Q28" s="11" t="s">
        <v>995</v>
      </c>
      <c r="R28" s="11" t="s">
        <v>996</v>
      </c>
      <c r="S28" s="11" t="s">
        <v>997</v>
      </c>
      <c r="T28" s="12" t="s">
        <v>88</v>
      </c>
      <c r="U28" s="12" t="s">
        <v>212</v>
      </c>
      <c r="V28" s="12" t="s">
        <v>90</v>
      </c>
      <c r="W28" s="11" t="s">
        <v>998</v>
      </c>
      <c r="X28" s="12" t="s">
        <v>999</v>
      </c>
      <c r="Y28" s="11"/>
      <c r="Z28" s="11" t="s">
        <v>542</v>
      </c>
      <c r="AA28" s="11" t="s">
        <v>549</v>
      </c>
      <c r="AB28" s="11"/>
      <c r="AC28" s="11"/>
      <c r="AD28" s="11" t="s">
        <v>1000</v>
      </c>
      <c r="AE28" s="11" t="s">
        <v>237</v>
      </c>
      <c r="AF28" s="11"/>
      <c r="AG28" s="11" t="s">
        <v>786</v>
      </c>
      <c r="AH28" s="11" t="s">
        <v>364</v>
      </c>
    </row>
    <row r="29" customFormat="false" ht="60" hidden="false" customHeight="true" outlineLevel="0" collapsed="false">
      <c r="A29" s="16" t="s">
        <v>205</v>
      </c>
      <c r="B29" s="28" t="n">
        <v>0</v>
      </c>
      <c r="C29" s="11" t="s">
        <v>73</v>
      </c>
      <c r="D29" s="12" t="s">
        <v>74</v>
      </c>
      <c r="E29" s="11" t="s">
        <v>992</v>
      </c>
      <c r="F29" s="11" t="s">
        <v>1001</v>
      </c>
      <c r="G29" s="12"/>
      <c r="H29" s="11" t="s">
        <v>164</v>
      </c>
      <c r="I29" s="11" t="s">
        <v>853</v>
      </c>
      <c r="J29" s="26" t="s">
        <v>541</v>
      </c>
      <c r="K29" s="12" t="s">
        <v>542</v>
      </c>
      <c r="L29" s="12" t="s">
        <v>542</v>
      </c>
      <c r="M29" s="11" t="s">
        <v>302</v>
      </c>
      <c r="N29" s="11" t="s">
        <v>208</v>
      </c>
      <c r="O29" s="15" t="s">
        <v>1002</v>
      </c>
      <c r="P29" s="12" t="s">
        <v>544</v>
      </c>
      <c r="Q29" s="11" t="s">
        <v>995</v>
      </c>
      <c r="R29" s="11" t="s">
        <v>996</v>
      </c>
      <c r="S29" s="11" t="s">
        <v>87</v>
      </c>
      <c r="T29" s="12" t="s">
        <v>88</v>
      </c>
      <c r="U29" s="12" t="s">
        <v>212</v>
      </c>
      <c r="V29" s="12" t="s">
        <v>90</v>
      </c>
      <c r="W29" s="11" t="s">
        <v>1003</v>
      </c>
      <c r="X29" s="12" t="s">
        <v>853</v>
      </c>
      <c r="Y29" s="11"/>
      <c r="Z29" s="11" t="s">
        <v>542</v>
      </c>
      <c r="AA29" s="11" t="s">
        <v>549</v>
      </c>
      <c r="AB29" s="11"/>
      <c r="AC29" s="11"/>
      <c r="AD29" s="11" t="s">
        <v>1004</v>
      </c>
      <c r="AE29" s="11" t="s">
        <v>95</v>
      </c>
      <c r="AF29" s="11"/>
      <c r="AG29" s="11" t="s">
        <v>786</v>
      </c>
      <c r="AH29" s="11" t="s">
        <v>364</v>
      </c>
    </row>
    <row r="30" customFormat="false" ht="60" hidden="false" customHeight="true" outlineLevel="0" collapsed="false">
      <c r="A30" s="16" t="s">
        <v>205</v>
      </c>
      <c r="B30" s="28" t="n">
        <v>0</v>
      </c>
      <c r="C30" s="11" t="s">
        <v>73</v>
      </c>
      <c r="D30" s="12" t="s">
        <v>74</v>
      </c>
      <c r="E30" s="11" t="s">
        <v>1005</v>
      </c>
      <c r="F30" s="11" t="s">
        <v>1006</v>
      </c>
      <c r="G30" s="12"/>
      <c r="H30" s="11" t="s">
        <v>139</v>
      </c>
      <c r="I30" s="11" t="s">
        <v>78</v>
      </c>
      <c r="J30" s="26" t="s">
        <v>541</v>
      </c>
      <c r="K30" s="12" t="s">
        <v>542</v>
      </c>
      <c r="L30" s="12" t="s">
        <v>542</v>
      </c>
      <c r="M30" s="11" t="s">
        <v>181</v>
      </c>
      <c r="N30" s="11" t="s">
        <v>208</v>
      </c>
      <c r="O30" s="15" t="s">
        <v>1007</v>
      </c>
      <c r="P30" s="12" t="s">
        <v>767</v>
      </c>
      <c r="Q30" s="11" t="s">
        <v>1008</v>
      </c>
      <c r="R30" s="11" t="s">
        <v>1009</v>
      </c>
      <c r="S30" s="11" t="s">
        <v>87</v>
      </c>
      <c r="T30" s="12" t="s">
        <v>88</v>
      </c>
      <c r="U30" s="12" t="s">
        <v>212</v>
      </c>
      <c r="V30" s="12" t="s">
        <v>90</v>
      </c>
      <c r="W30" s="11" t="s">
        <v>1010</v>
      </c>
      <c r="X30" s="12" t="s">
        <v>108</v>
      </c>
      <c r="Y30" s="11"/>
      <c r="Z30" s="11" t="s">
        <v>542</v>
      </c>
      <c r="AA30" s="11" t="s">
        <v>549</v>
      </c>
      <c r="AB30" s="11"/>
      <c r="AC30" s="11"/>
      <c r="AD30" s="11" t="s">
        <v>1011</v>
      </c>
      <c r="AE30" s="11" t="s">
        <v>95</v>
      </c>
      <c r="AF30" s="11" t="s">
        <v>1012</v>
      </c>
      <c r="AG30" s="11" t="s">
        <v>1013</v>
      </c>
      <c r="AH30" s="11" t="s">
        <v>98</v>
      </c>
    </row>
    <row r="31" customFormat="false" ht="60" hidden="false" customHeight="true" outlineLevel="0" collapsed="false">
      <c r="A31" s="16" t="s">
        <v>205</v>
      </c>
      <c r="B31" s="28" t="n">
        <v>0</v>
      </c>
      <c r="C31" s="11" t="s">
        <v>73</v>
      </c>
      <c r="D31" s="12" t="s">
        <v>74</v>
      </c>
      <c r="E31" s="11" t="s">
        <v>1014</v>
      </c>
      <c r="F31" s="11" t="s">
        <v>1015</v>
      </c>
      <c r="G31" s="12"/>
      <c r="H31" s="11" t="s">
        <v>139</v>
      </c>
      <c r="I31" s="11" t="s">
        <v>78</v>
      </c>
      <c r="J31" s="26" t="s">
        <v>541</v>
      </c>
      <c r="K31" s="12" t="s">
        <v>542</v>
      </c>
      <c r="L31" s="12" t="s">
        <v>542</v>
      </c>
      <c r="M31" s="11" t="s">
        <v>181</v>
      </c>
      <c r="N31" s="11" t="s">
        <v>208</v>
      </c>
      <c r="O31" s="15" t="s">
        <v>1016</v>
      </c>
      <c r="P31" s="12" t="s">
        <v>767</v>
      </c>
      <c r="Q31" s="11" t="s">
        <v>1017</v>
      </c>
      <c r="R31" s="11" t="s">
        <v>1018</v>
      </c>
      <c r="S31" s="11" t="s">
        <v>118</v>
      </c>
      <c r="T31" s="12" t="s">
        <v>88</v>
      </c>
      <c r="U31" s="12" t="s">
        <v>212</v>
      </c>
      <c r="V31" s="12" t="s">
        <v>90</v>
      </c>
      <c r="W31" s="11" t="s">
        <v>1019</v>
      </c>
      <c r="X31" s="12" t="s">
        <v>108</v>
      </c>
      <c r="Y31" s="11"/>
      <c r="Z31" s="11" t="s">
        <v>542</v>
      </c>
      <c r="AA31" s="11" t="s">
        <v>549</v>
      </c>
      <c r="AB31" s="11"/>
      <c r="AC31" s="11"/>
      <c r="AD31" s="11" t="s">
        <v>1020</v>
      </c>
      <c r="AE31" s="11" t="s">
        <v>237</v>
      </c>
      <c r="AF31" s="11" t="s">
        <v>1021</v>
      </c>
      <c r="AG31" s="11" t="s">
        <v>1022</v>
      </c>
      <c r="AH31" s="11" t="s">
        <v>98</v>
      </c>
    </row>
    <row r="32" customFormat="false" ht="60" hidden="false" customHeight="true" outlineLevel="0" collapsed="false">
      <c r="A32" s="16" t="s">
        <v>205</v>
      </c>
      <c r="B32" s="28" t="n">
        <v>0</v>
      </c>
      <c r="C32" s="11" t="s">
        <v>73</v>
      </c>
      <c r="D32" s="12" t="s">
        <v>74</v>
      </c>
      <c r="E32" s="11" t="s">
        <v>1023</v>
      </c>
      <c r="F32" s="11" t="s">
        <v>1024</v>
      </c>
      <c r="G32" s="12"/>
      <c r="H32" s="11" t="s">
        <v>164</v>
      </c>
      <c r="I32" s="11" t="s">
        <v>165</v>
      </c>
      <c r="J32" s="26" t="s">
        <v>541</v>
      </c>
      <c r="K32" s="12" t="s">
        <v>542</v>
      </c>
      <c r="L32" s="12" t="s">
        <v>542</v>
      </c>
      <c r="M32" s="11" t="s">
        <v>302</v>
      </c>
      <c r="N32" s="11" t="s">
        <v>208</v>
      </c>
      <c r="O32" s="15" t="s">
        <v>1025</v>
      </c>
      <c r="P32" s="12" t="s">
        <v>544</v>
      </c>
      <c r="Q32" s="11" t="s">
        <v>1026</v>
      </c>
      <c r="R32" s="11" t="s">
        <v>1027</v>
      </c>
      <c r="S32" s="11" t="s">
        <v>1028</v>
      </c>
      <c r="T32" s="12" t="s">
        <v>88</v>
      </c>
      <c r="U32" s="12" t="s">
        <v>1029</v>
      </c>
      <c r="V32" s="12" t="s">
        <v>90</v>
      </c>
      <c r="W32" s="11" t="s">
        <v>1030</v>
      </c>
      <c r="X32" s="12" t="s">
        <v>165</v>
      </c>
      <c r="Y32" s="11"/>
      <c r="Z32" s="11" t="s">
        <v>542</v>
      </c>
      <c r="AA32" s="11" t="s">
        <v>549</v>
      </c>
      <c r="AB32" s="11"/>
      <c r="AC32" s="11"/>
      <c r="AD32" s="11" t="s">
        <v>1031</v>
      </c>
      <c r="AE32" s="11" t="s">
        <v>174</v>
      </c>
      <c r="AF32" s="11" t="s">
        <v>1032</v>
      </c>
      <c r="AG32" s="11" t="s">
        <v>1033</v>
      </c>
      <c r="AH32" s="11" t="s">
        <v>98</v>
      </c>
    </row>
    <row r="33" customFormat="false" ht="60" hidden="false" customHeight="true" outlineLevel="0" collapsed="false">
      <c r="A33" s="16" t="s">
        <v>205</v>
      </c>
      <c r="B33" s="28" t="n">
        <v>0</v>
      </c>
      <c r="C33" s="11" t="s">
        <v>73</v>
      </c>
      <c r="D33" s="12" t="s">
        <v>74</v>
      </c>
      <c r="E33" s="11" t="s">
        <v>826</v>
      </c>
      <c r="F33" s="11" t="s">
        <v>1034</v>
      </c>
      <c r="G33" s="12"/>
      <c r="H33" s="11" t="s">
        <v>164</v>
      </c>
      <c r="I33" s="11" t="s">
        <v>1035</v>
      </c>
      <c r="J33" s="26" t="s">
        <v>541</v>
      </c>
      <c r="K33" s="12" t="s">
        <v>542</v>
      </c>
      <c r="L33" s="12" t="s">
        <v>542</v>
      </c>
      <c r="M33" s="11" t="s">
        <v>181</v>
      </c>
      <c r="N33" s="11" t="s">
        <v>208</v>
      </c>
      <c r="O33" s="15" t="s">
        <v>834</v>
      </c>
      <c r="P33" s="12" t="s">
        <v>544</v>
      </c>
      <c r="Q33" s="11" t="s">
        <v>935</v>
      </c>
      <c r="R33" s="11" t="s">
        <v>831</v>
      </c>
      <c r="S33" s="11" t="s">
        <v>1036</v>
      </c>
      <c r="T33" s="12" t="s">
        <v>88</v>
      </c>
      <c r="U33" s="12" t="s">
        <v>89</v>
      </c>
      <c r="V33" s="12" t="s">
        <v>90</v>
      </c>
      <c r="W33" s="11" t="s">
        <v>1037</v>
      </c>
      <c r="X33" s="12" t="s">
        <v>1038</v>
      </c>
      <c r="Y33" s="11"/>
      <c r="Z33" s="11" t="s">
        <v>542</v>
      </c>
      <c r="AA33" s="11" t="s">
        <v>549</v>
      </c>
      <c r="AB33" s="11"/>
      <c r="AC33" s="11"/>
      <c r="AD33" s="11" t="s">
        <v>1039</v>
      </c>
      <c r="AE33" s="11" t="s">
        <v>174</v>
      </c>
      <c r="AF33" s="11"/>
      <c r="AG33" s="11" t="s">
        <v>786</v>
      </c>
      <c r="AH33" s="11" t="s">
        <v>364</v>
      </c>
    </row>
    <row r="34" customFormat="false" ht="60" hidden="false" customHeight="true" outlineLevel="0" collapsed="false">
      <c r="A34" s="16" t="s">
        <v>205</v>
      </c>
      <c r="B34" s="28" t="n">
        <v>0</v>
      </c>
      <c r="C34" s="11" t="s">
        <v>73</v>
      </c>
      <c r="D34" s="12" t="s">
        <v>74</v>
      </c>
      <c r="E34" s="11" t="s">
        <v>1040</v>
      </c>
      <c r="F34" s="11" t="s">
        <v>1041</v>
      </c>
      <c r="G34" s="12"/>
      <c r="H34" s="11" t="s">
        <v>164</v>
      </c>
      <c r="I34" s="11" t="s">
        <v>613</v>
      </c>
      <c r="J34" s="26" t="s">
        <v>541</v>
      </c>
      <c r="K34" s="12" t="s">
        <v>542</v>
      </c>
      <c r="L34" s="12" t="s">
        <v>542</v>
      </c>
      <c r="M34" s="11" t="s">
        <v>302</v>
      </c>
      <c r="N34" s="11" t="s">
        <v>208</v>
      </c>
      <c r="O34" s="15" t="s">
        <v>1042</v>
      </c>
      <c r="P34" s="12" t="s">
        <v>544</v>
      </c>
      <c r="Q34" s="11" t="s">
        <v>1043</v>
      </c>
      <c r="R34" s="11" t="s">
        <v>1044</v>
      </c>
      <c r="S34" s="11" t="s">
        <v>87</v>
      </c>
      <c r="T34" s="12" t="s">
        <v>88</v>
      </c>
      <c r="U34" s="12" t="s">
        <v>465</v>
      </c>
      <c r="V34" s="12" t="s">
        <v>90</v>
      </c>
      <c r="W34" s="11" t="s">
        <v>1045</v>
      </c>
      <c r="X34" s="12" t="s">
        <v>613</v>
      </c>
      <c r="Y34" s="11"/>
      <c r="Z34" s="11" t="s">
        <v>542</v>
      </c>
      <c r="AA34" s="11" t="s">
        <v>549</v>
      </c>
      <c r="AB34" s="11"/>
      <c r="AC34" s="11"/>
      <c r="AD34" s="11" t="s">
        <v>1046</v>
      </c>
      <c r="AE34" s="11" t="s">
        <v>735</v>
      </c>
      <c r="AF34" s="11" t="s">
        <v>1047</v>
      </c>
      <c r="AG34" s="11" t="s">
        <v>786</v>
      </c>
      <c r="AH34" s="11" t="s">
        <v>364</v>
      </c>
    </row>
    <row r="35" customFormat="false" ht="60" hidden="false" customHeight="true" outlineLevel="0" collapsed="false">
      <c r="A35" s="16" t="s">
        <v>205</v>
      </c>
      <c r="B35" s="28" t="n">
        <v>0</v>
      </c>
      <c r="C35" s="11" t="s">
        <v>73</v>
      </c>
      <c r="D35" s="12" t="s">
        <v>74</v>
      </c>
      <c r="E35" s="11" t="s">
        <v>1040</v>
      </c>
      <c r="F35" s="11" t="s">
        <v>1048</v>
      </c>
      <c r="G35" s="12"/>
      <c r="H35" s="11" t="s">
        <v>164</v>
      </c>
      <c r="I35" s="11" t="s">
        <v>613</v>
      </c>
      <c r="J35" s="26" t="s">
        <v>541</v>
      </c>
      <c r="K35" s="12" t="s">
        <v>542</v>
      </c>
      <c r="L35" s="12" t="s">
        <v>542</v>
      </c>
      <c r="M35" s="11" t="s">
        <v>302</v>
      </c>
      <c r="N35" s="11" t="s">
        <v>208</v>
      </c>
      <c r="O35" s="15" t="s">
        <v>1042</v>
      </c>
      <c r="P35" s="12" t="s">
        <v>544</v>
      </c>
      <c r="Q35" s="11" t="s">
        <v>1043</v>
      </c>
      <c r="R35" s="11" t="s">
        <v>1044</v>
      </c>
      <c r="S35" s="11" t="s">
        <v>87</v>
      </c>
      <c r="T35" s="12" t="s">
        <v>88</v>
      </c>
      <c r="U35" s="12" t="s">
        <v>465</v>
      </c>
      <c r="V35" s="12" t="s">
        <v>90</v>
      </c>
      <c r="W35" s="11" t="s">
        <v>1045</v>
      </c>
      <c r="X35" s="12" t="s">
        <v>613</v>
      </c>
      <c r="Y35" s="11"/>
      <c r="Z35" s="11" t="s">
        <v>542</v>
      </c>
      <c r="AA35" s="11" t="s">
        <v>549</v>
      </c>
      <c r="AB35" s="11"/>
      <c r="AC35" s="11"/>
      <c r="AD35" s="11" t="s">
        <v>1049</v>
      </c>
      <c r="AE35" s="11" t="s">
        <v>735</v>
      </c>
      <c r="AF35" s="11" t="s">
        <v>1047</v>
      </c>
      <c r="AG35" s="11" t="s">
        <v>786</v>
      </c>
      <c r="AH35" s="11" t="s">
        <v>364</v>
      </c>
    </row>
    <row r="36" customFormat="false" ht="60" hidden="false" customHeight="true" outlineLevel="0" collapsed="false">
      <c r="A36" s="16" t="s">
        <v>205</v>
      </c>
      <c r="B36" s="28" t="n">
        <v>0</v>
      </c>
      <c r="C36" s="11" t="s">
        <v>73</v>
      </c>
      <c r="D36" s="12" t="s">
        <v>74</v>
      </c>
      <c r="E36" s="11" t="s">
        <v>775</v>
      </c>
      <c r="F36" s="11" t="s">
        <v>1050</v>
      </c>
      <c r="G36" s="12"/>
      <c r="H36" s="11" t="s">
        <v>164</v>
      </c>
      <c r="I36" s="11" t="s">
        <v>853</v>
      </c>
      <c r="J36" s="26" t="s">
        <v>541</v>
      </c>
      <c r="K36" s="12" t="s">
        <v>542</v>
      </c>
      <c r="L36" s="12" t="s">
        <v>542</v>
      </c>
      <c r="M36" s="11" t="s">
        <v>181</v>
      </c>
      <c r="N36" s="11" t="s">
        <v>208</v>
      </c>
      <c r="O36" s="15" t="s">
        <v>778</v>
      </c>
      <c r="P36" s="12" t="s">
        <v>544</v>
      </c>
      <c r="Q36" s="11" t="s">
        <v>1051</v>
      </c>
      <c r="R36" s="11" t="s">
        <v>780</v>
      </c>
      <c r="S36" s="11" t="s">
        <v>1052</v>
      </c>
      <c r="T36" s="12" t="s">
        <v>88</v>
      </c>
      <c r="U36" s="12" t="s">
        <v>229</v>
      </c>
      <c r="V36" s="12" t="s">
        <v>90</v>
      </c>
      <c r="W36" s="11" t="s">
        <v>1053</v>
      </c>
      <c r="X36" s="12" t="s">
        <v>783</v>
      </c>
      <c r="Y36" s="11"/>
      <c r="Z36" s="11" t="s">
        <v>542</v>
      </c>
      <c r="AA36" s="11" t="s">
        <v>549</v>
      </c>
      <c r="AB36" s="11"/>
      <c r="AC36" s="11"/>
      <c r="AD36" s="11" t="s">
        <v>1054</v>
      </c>
      <c r="AE36" s="11" t="s">
        <v>735</v>
      </c>
      <c r="AF36" s="11" t="s">
        <v>1055</v>
      </c>
      <c r="AG36" s="11" t="s">
        <v>786</v>
      </c>
      <c r="AH36" s="11" t="s">
        <v>364</v>
      </c>
    </row>
    <row r="37" customFormat="false" ht="60" hidden="false" customHeight="true" outlineLevel="0" collapsed="false">
      <c r="A37" s="16" t="s">
        <v>205</v>
      </c>
      <c r="B37" s="28" t="n">
        <v>0</v>
      </c>
      <c r="C37" s="11" t="s">
        <v>73</v>
      </c>
      <c r="D37" s="12" t="s">
        <v>74</v>
      </c>
      <c r="E37" s="11" t="s">
        <v>1056</v>
      </c>
      <c r="F37" s="11" t="s">
        <v>1057</v>
      </c>
      <c r="G37" s="12"/>
      <c r="H37" s="11" t="s">
        <v>164</v>
      </c>
      <c r="I37" s="11" t="s">
        <v>165</v>
      </c>
      <c r="J37" s="26" t="s">
        <v>541</v>
      </c>
      <c r="K37" s="12" t="s">
        <v>542</v>
      </c>
      <c r="L37" s="12" t="s">
        <v>542</v>
      </c>
      <c r="M37" s="11" t="s">
        <v>181</v>
      </c>
      <c r="N37" s="11" t="s">
        <v>208</v>
      </c>
      <c r="O37" s="15" t="s">
        <v>1058</v>
      </c>
      <c r="P37" s="12" t="s">
        <v>544</v>
      </c>
      <c r="Q37" s="11" t="s">
        <v>907</v>
      </c>
      <c r="R37" s="11" t="s">
        <v>1059</v>
      </c>
      <c r="S37" s="11" t="s">
        <v>598</v>
      </c>
      <c r="T37" s="12" t="s">
        <v>88</v>
      </c>
      <c r="U37" s="12" t="s">
        <v>320</v>
      </c>
      <c r="V37" s="12" t="s">
        <v>90</v>
      </c>
      <c r="W37" s="11" t="s">
        <v>1060</v>
      </c>
      <c r="X37" s="12" t="s">
        <v>108</v>
      </c>
      <c r="Y37" s="11"/>
      <c r="Z37" s="11" t="s">
        <v>542</v>
      </c>
      <c r="AA37" s="11" t="s">
        <v>549</v>
      </c>
      <c r="AB37" s="11"/>
      <c r="AC37" s="11"/>
      <c r="AD37" s="11" t="s">
        <v>1061</v>
      </c>
      <c r="AE37" s="11" t="s">
        <v>237</v>
      </c>
      <c r="AF37" s="11"/>
      <c r="AG37" s="11" t="s">
        <v>1062</v>
      </c>
      <c r="AH37" s="11" t="s">
        <v>98</v>
      </c>
    </row>
    <row r="38" customFormat="false" ht="60" hidden="false" customHeight="true" outlineLevel="0" collapsed="false">
      <c r="A38" s="16" t="s">
        <v>205</v>
      </c>
      <c r="B38" s="28" t="n">
        <v>0</v>
      </c>
      <c r="C38" s="11" t="s">
        <v>73</v>
      </c>
      <c r="D38" s="12" t="s">
        <v>74</v>
      </c>
      <c r="E38" s="11" t="s">
        <v>329</v>
      </c>
      <c r="F38" s="11" t="s">
        <v>1063</v>
      </c>
      <c r="G38" s="12"/>
      <c r="H38" s="11" t="s">
        <v>164</v>
      </c>
      <c r="I38" s="11" t="s">
        <v>853</v>
      </c>
      <c r="J38" s="26" t="s">
        <v>541</v>
      </c>
      <c r="K38" s="12" t="s">
        <v>542</v>
      </c>
      <c r="L38" s="12" t="s">
        <v>542</v>
      </c>
      <c r="M38" s="11" t="s">
        <v>181</v>
      </c>
      <c r="N38" s="11" t="s">
        <v>208</v>
      </c>
      <c r="O38" s="15" t="s">
        <v>1064</v>
      </c>
      <c r="P38" s="12" t="s">
        <v>544</v>
      </c>
      <c r="Q38" s="11" t="s">
        <v>518</v>
      </c>
      <c r="R38" s="11" t="s">
        <v>334</v>
      </c>
      <c r="S38" s="11" t="s">
        <v>845</v>
      </c>
      <c r="T38" s="12" t="s">
        <v>88</v>
      </c>
      <c r="U38" s="12" t="s">
        <v>335</v>
      </c>
      <c r="V38" s="12" t="s">
        <v>90</v>
      </c>
      <c r="W38" s="11" t="s">
        <v>1065</v>
      </c>
      <c r="X38" s="12" t="s">
        <v>1066</v>
      </c>
      <c r="Y38" s="11"/>
      <c r="Z38" s="11" t="s">
        <v>542</v>
      </c>
      <c r="AA38" s="11" t="s">
        <v>549</v>
      </c>
      <c r="AB38" s="11"/>
      <c r="AC38" s="11"/>
      <c r="AD38" s="11" t="s">
        <v>1067</v>
      </c>
      <c r="AE38" s="11" t="s">
        <v>95</v>
      </c>
      <c r="AF38" s="11" t="s">
        <v>1068</v>
      </c>
      <c r="AG38" s="11" t="s">
        <v>786</v>
      </c>
      <c r="AH38" s="11" t="s">
        <v>364</v>
      </c>
    </row>
    <row r="39" customFormat="false" ht="60" hidden="false" customHeight="true" outlineLevel="0" collapsed="false">
      <c r="A39" s="16" t="s">
        <v>205</v>
      </c>
      <c r="B39" s="28" t="n">
        <v>0</v>
      </c>
      <c r="C39" s="11" t="s">
        <v>73</v>
      </c>
      <c r="D39" s="12" t="s">
        <v>74</v>
      </c>
      <c r="E39" s="11" t="s">
        <v>1069</v>
      </c>
      <c r="F39" s="11" t="s">
        <v>1070</v>
      </c>
      <c r="G39" s="12"/>
      <c r="H39" s="11" t="s">
        <v>164</v>
      </c>
      <c r="I39" s="11" t="s">
        <v>853</v>
      </c>
      <c r="J39" s="26" t="s">
        <v>541</v>
      </c>
      <c r="K39" s="12" t="s">
        <v>542</v>
      </c>
      <c r="L39" s="12" t="s">
        <v>542</v>
      </c>
      <c r="M39" s="11" t="s">
        <v>181</v>
      </c>
      <c r="N39" s="11" t="s">
        <v>208</v>
      </c>
      <c r="O39" s="15" t="s">
        <v>1071</v>
      </c>
      <c r="P39" s="12" t="s">
        <v>544</v>
      </c>
      <c r="Q39" s="11" t="s">
        <v>1072</v>
      </c>
      <c r="R39" s="11" t="s">
        <v>1073</v>
      </c>
      <c r="S39" s="11" t="s">
        <v>118</v>
      </c>
      <c r="T39" s="12" t="s">
        <v>88</v>
      </c>
      <c r="U39" s="12" t="s">
        <v>1074</v>
      </c>
      <c r="V39" s="12" t="s">
        <v>90</v>
      </c>
      <c r="W39" s="11" t="s">
        <v>1075</v>
      </c>
      <c r="X39" s="12" t="s">
        <v>108</v>
      </c>
      <c r="Y39" s="11"/>
      <c r="Z39" s="11" t="s">
        <v>542</v>
      </c>
      <c r="AA39" s="11" t="s">
        <v>549</v>
      </c>
      <c r="AB39" s="11"/>
      <c r="AC39" s="11"/>
      <c r="AD39" s="11" t="s">
        <v>1076</v>
      </c>
      <c r="AE39" s="11" t="s">
        <v>237</v>
      </c>
      <c r="AF39" s="11" t="s">
        <v>1077</v>
      </c>
      <c r="AG39" s="11" t="s">
        <v>786</v>
      </c>
      <c r="AH39" s="11" t="s">
        <v>364</v>
      </c>
    </row>
    <row r="40" customFormat="false" ht="60" hidden="false" customHeight="true" outlineLevel="0" collapsed="false">
      <c r="A40" s="16" t="s">
        <v>205</v>
      </c>
      <c r="B40" s="28" t="n">
        <v>0</v>
      </c>
      <c r="C40" s="11" t="s">
        <v>73</v>
      </c>
      <c r="D40" s="12" t="s">
        <v>74</v>
      </c>
      <c r="E40" s="11" t="s">
        <v>1069</v>
      </c>
      <c r="F40" s="11" t="s">
        <v>1078</v>
      </c>
      <c r="G40" s="12"/>
      <c r="H40" s="11" t="s">
        <v>164</v>
      </c>
      <c r="I40" s="11" t="s">
        <v>853</v>
      </c>
      <c r="J40" s="26" t="s">
        <v>541</v>
      </c>
      <c r="K40" s="12" t="s">
        <v>542</v>
      </c>
      <c r="L40" s="12" t="s">
        <v>542</v>
      </c>
      <c r="M40" s="11" t="s">
        <v>181</v>
      </c>
      <c r="N40" s="11" t="s">
        <v>208</v>
      </c>
      <c r="O40" s="15" t="s">
        <v>1079</v>
      </c>
      <c r="P40" s="12" t="s">
        <v>544</v>
      </c>
      <c r="Q40" s="11" t="s">
        <v>703</v>
      </c>
      <c r="R40" s="11" t="s">
        <v>1073</v>
      </c>
      <c r="S40" s="11" t="s">
        <v>118</v>
      </c>
      <c r="T40" s="12" t="s">
        <v>88</v>
      </c>
      <c r="U40" s="12" t="s">
        <v>1074</v>
      </c>
      <c r="V40" s="12" t="s">
        <v>90</v>
      </c>
      <c r="W40" s="11" t="s">
        <v>1080</v>
      </c>
      <c r="X40" s="12" t="s">
        <v>1081</v>
      </c>
      <c r="Y40" s="11"/>
      <c r="Z40" s="11" t="s">
        <v>542</v>
      </c>
      <c r="AA40" s="11" t="s">
        <v>549</v>
      </c>
      <c r="AB40" s="11"/>
      <c r="AC40" s="11"/>
      <c r="AD40" s="11" t="s">
        <v>1082</v>
      </c>
      <c r="AE40" s="11" t="s">
        <v>237</v>
      </c>
      <c r="AF40" s="11" t="s">
        <v>1083</v>
      </c>
      <c r="AG40" s="11" t="s">
        <v>786</v>
      </c>
      <c r="AH40" s="11" t="s">
        <v>364</v>
      </c>
    </row>
    <row r="41" customFormat="false" ht="60" hidden="false" customHeight="true" outlineLevel="0" collapsed="false">
      <c r="A41" s="16" t="s">
        <v>205</v>
      </c>
      <c r="B41" s="28" t="n">
        <v>0</v>
      </c>
      <c r="C41" s="11" t="s">
        <v>73</v>
      </c>
      <c r="D41" s="12" t="s">
        <v>74</v>
      </c>
      <c r="E41" s="11" t="s">
        <v>1069</v>
      </c>
      <c r="F41" s="11" t="s">
        <v>1084</v>
      </c>
      <c r="G41" s="12"/>
      <c r="H41" s="11" t="s">
        <v>164</v>
      </c>
      <c r="I41" s="11" t="s">
        <v>853</v>
      </c>
      <c r="J41" s="26" t="s">
        <v>541</v>
      </c>
      <c r="K41" s="12" t="s">
        <v>542</v>
      </c>
      <c r="L41" s="12" t="s">
        <v>542</v>
      </c>
      <c r="M41" s="11" t="s">
        <v>181</v>
      </c>
      <c r="N41" s="11" t="s">
        <v>208</v>
      </c>
      <c r="O41" s="15" t="s">
        <v>1085</v>
      </c>
      <c r="P41" s="12" t="s">
        <v>544</v>
      </c>
      <c r="Q41" s="11" t="s">
        <v>1086</v>
      </c>
      <c r="R41" s="11" t="s">
        <v>1073</v>
      </c>
      <c r="S41" s="11" t="s">
        <v>118</v>
      </c>
      <c r="T41" s="12" t="s">
        <v>88</v>
      </c>
      <c r="U41" s="12" t="s">
        <v>1074</v>
      </c>
      <c r="V41" s="12" t="s">
        <v>90</v>
      </c>
      <c r="W41" s="11" t="s">
        <v>1087</v>
      </c>
      <c r="X41" s="12" t="s">
        <v>823</v>
      </c>
      <c r="Y41" s="11"/>
      <c r="Z41" s="11" t="s">
        <v>542</v>
      </c>
      <c r="AA41" s="11" t="s">
        <v>549</v>
      </c>
      <c r="AB41" s="11"/>
      <c r="AC41" s="11"/>
      <c r="AD41" s="11" t="s">
        <v>1088</v>
      </c>
      <c r="AE41" s="11" t="s">
        <v>237</v>
      </c>
      <c r="AF41" s="11" t="s">
        <v>1089</v>
      </c>
      <c r="AG41" s="11" t="s">
        <v>786</v>
      </c>
      <c r="AH41" s="11" t="s">
        <v>364</v>
      </c>
    </row>
    <row r="42" customFormat="false" ht="60" hidden="false" customHeight="true" outlineLevel="0" collapsed="false">
      <c r="A42" s="16" t="s">
        <v>205</v>
      </c>
      <c r="B42" s="28" t="n">
        <v>0</v>
      </c>
      <c r="C42" s="11" t="s">
        <v>73</v>
      </c>
      <c r="D42" s="12" t="s">
        <v>74</v>
      </c>
      <c r="E42" s="11" t="s">
        <v>1069</v>
      </c>
      <c r="F42" s="11" t="s">
        <v>1090</v>
      </c>
      <c r="G42" s="12"/>
      <c r="H42" s="11" t="s">
        <v>164</v>
      </c>
      <c r="I42" s="11" t="s">
        <v>560</v>
      </c>
      <c r="J42" s="26" t="s">
        <v>541</v>
      </c>
      <c r="K42" s="12" t="s">
        <v>542</v>
      </c>
      <c r="L42" s="12" t="s">
        <v>542</v>
      </c>
      <c r="M42" s="11" t="s">
        <v>181</v>
      </c>
      <c r="N42" s="11" t="s">
        <v>208</v>
      </c>
      <c r="O42" s="15" t="s">
        <v>1077</v>
      </c>
      <c r="P42" s="12" t="s">
        <v>544</v>
      </c>
      <c r="Q42" s="11" t="s">
        <v>1091</v>
      </c>
      <c r="R42" s="11" t="s">
        <v>1092</v>
      </c>
      <c r="S42" s="11" t="s">
        <v>118</v>
      </c>
      <c r="T42" s="12" t="s">
        <v>88</v>
      </c>
      <c r="U42" s="12" t="s">
        <v>1074</v>
      </c>
      <c r="V42" s="12" t="s">
        <v>466</v>
      </c>
      <c r="W42" s="11" t="s">
        <v>1093</v>
      </c>
      <c r="X42" s="12" t="s">
        <v>108</v>
      </c>
      <c r="Y42" s="11"/>
      <c r="Z42" s="11" t="s">
        <v>542</v>
      </c>
      <c r="AA42" s="11" t="s">
        <v>549</v>
      </c>
      <c r="AB42" s="11"/>
      <c r="AC42" s="11"/>
      <c r="AD42" s="11" t="s">
        <v>1094</v>
      </c>
      <c r="AE42" s="11" t="s">
        <v>735</v>
      </c>
      <c r="AF42" s="11" t="s">
        <v>1095</v>
      </c>
      <c r="AG42" s="11" t="s">
        <v>838</v>
      </c>
      <c r="AH42" s="11" t="s">
        <v>344</v>
      </c>
    </row>
    <row r="43" customFormat="false" ht="60" hidden="false" customHeight="true" outlineLevel="0" collapsed="false">
      <c r="A43" s="20" t="s">
        <v>399</v>
      </c>
      <c r="B43" s="28" t="n">
        <v>0</v>
      </c>
      <c r="C43" s="11" t="s">
        <v>73</v>
      </c>
      <c r="D43" s="12" t="s">
        <v>74</v>
      </c>
      <c r="E43" s="11" t="s">
        <v>826</v>
      </c>
      <c r="F43" s="11" t="s">
        <v>1096</v>
      </c>
      <c r="G43" s="13" t="n">
        <v>46279</v>
      </c>
      <c r="H43" s="11" t="s">
        <v>402</v>
      </c>
      <c r="I43" s="11" t="s">
        <v>1097</v>
      </c>
      <c r="J43" s="26" t="s">
        <v>541</v>
      </c>
      <c r="K43" s="12" t="s">
        <v>542</v>
      </c>
      <c r="L43" s="12" t="s">
        <v>542</v>
      </c>
      <c r="M43" s="11" t="s">
        <v>181</v>
      </c>
      <c r="N43" s="11" t="s">
        <v>208</v>
      </c>
      <c r="O43" s="15" t="s">
        <v>1098</v>
      </c>
      <c r="P43" s="12" t="s">
        <v>544</v>
      </c>
      <c r="Q43" s="11" t="s">
        <v>843</v>
      </c>
      <c r="R43" s="11" t="s">
        <v>831</v>
      </c>
      <c r="S43" s="11" t="s">
        <v>87</v>
      </c>
      <c r="T43" s="12" t="s">
        <v>88</v>
      </c>
      <c r="U43" s="12" t="s">
        <v>89</v>
      </c>
      <c r="V43" s="12" t="s">
        <v>90</v>
      </c>
      <c r="W43" s="11" t="s">
        <v>1099</v>
      </c>
      <c r="X43" s="12" t="s">
        <v>108</v>
      </c>
      <c r="Y43" s="11"/>
      <c r="Z43" s="11" t="s">
        <v>542</v>
      </c>
      <c r="AA43" s="11" t="s">
        <v>549</v>
      </c>
      <c r="AB43" s="11"/>
      <c r="AC43" s="11"/>
      <c r="AD43" s="11" t="s">
        <v>1100</v>
      </c>
      <c r="AE43" s="11" t="s">
        <v>237</v>
      </c>
      <c r="AF43" s="11" t="s">
        <v>834</v>
      </c>
      <c r="AG43" s="11" t="s">
        <v>786</v>
      </c>
      <c r="AH43" s="11" t="s">
        <v>364</v>
      </c>
    </row>
    <row r="44" customFormat="false" ht="60" hidden="false" customHeight="true" outlineLevel="0" collapsed="false">
      <c r="A44" s="20" t="s">
        <v>399</v>
      </c>
      <c r="B44" s="28" t="n">
        <v>0</v>
      </c>
      <c r="C44" s="11" t="s">
        <v>73</v>
      </c>
      <c r="D44" s="12" t="s">
        <v>74</v>
      </c>
      <c r="E44" s="11" t="s">
        <v>1040</v>
      </c>
      <c r="F44" s="11" t="s">
        <v>1101</v>
      </c>
      <c r="G44" s="13" t="n">
        <v>46290</v>
      </c>
      <c r="H44" s="11" t="s">
        <v>402</v>
      </c>
      <c r="I44" s="11" t="s">
        <v>1102</v>
      </c>
      <c r="J44" s="26" t="s">
        <v>541</v>
      </c>
      <c r="K44" s="12" t="s">
        <v>542</v>
      </c>
      <c r="L44" s="12" t="s">
        <v>542</v>
      </c>
      <c r="M44" s="11" t="s">
        <v>181</v>
      </c>
      <c r="N44" s="11" t="s">
        <v>208</v>
      </c>
      <c r="O44" s="15" t="s">
        <v>1042</v>
      </c>
      <c r="P44" s="12" t="s">
        <v>544</v>
      </c>
      <c r="Q44" s="11" t="s">
        <v>381</v>
      </c>
      <c r="R44" s="11" t="s">
        <v>1044</v>
      </c>
      <c r="S44" s="11" t="s">
        <v>87</v>
      </c>
      <c r="T44" s="12" t="s">
        <v>88</v>
      </c>
      <c r="U44" s="12" t="s">
        <v>465</v>
      </c>
      <c r="V44" s="12" t="s">
        <v>90</v>
      </c>
      <c r="W44" s="11" t="s">
        <v>1103</v>
      </c>
      <c r="X44" s="12" t="s">
        <v>1104</v>
      </c>
      <c r="Y44" s="11"/>
      <c r="Z44" s="11" t="s">
        <v>542</v>
      </c>
      <c r="AA44" s="11" t="s">
        <v>549</v>
      </c>
      <c r="AB44" s="11"/>
      <c r="AC44" s="11"/>
      <c r="AD44" s="11" t="s">
        <v>1105</v>
      </c>
      <c r="AE44" s="11" t="s">
        <v>735</v>
      </c>
      <c r="AF44" s="11" t="s">
        <v>1106</v>
      </c>
      <c r="AG44" s="11" t="s">
        <v>786</v>
      </c>
      <c r="AH44" s="11" t="s">
        <v>364</v>
      </c>
    </row>
    <row r="45" customFormat="false" ht="60" hidden="false" customHeight="true" outlineLevel="0" collapsed="false">
      <c r="A45" s="20" t="s">
        <v>399</v>
      </c>
      <c r="B45" s="28" t="n">
        <v>0</v>
      </c>
      <c r="C45" s="11" t="s">
        <v>73</v>
      </c>
      <c r="D45" s="12" t="s">
        <v>74</v>
      </c>
      <c r="E45" s="11" t="s">
        <v>206</v>
      </c>
      <c r="F45" s="11" t="s">
        <v>1107</v>
      </c>
      <c r="G45" s="13" t="n">
        <v>46309</v>
      </c>
      <c r="H45" s="11" t="s">
        <v>402</v>
      </c>
      <c r="I45" s="11" t="s">
        <v>1108</v>
      </c>
      <c r="J45" s="26" t="s">
        <v>541</v>
      </c>
      <c r="K45" s="12" t="s">
        <v>542</v>
      </c>
      <c r="L45" s="12" t="s">
        <v>542</v>
      </c>
      <c r="M45" s="11" t="s">
        <v>181</v>
      </c>
      <c r="N45" s="11" t="s">
        <v>208</v>
      </c>
      <c r="O45" s="15" t="s">
        <v>1109</v>
      </c>
      <c r="P45" s="12" t="s">
        <v>767</v>
      </c>
      <c r="Q45" s="11" t="s">
        <v>1110</v>
      </c>
      <c r="R45" s="11" t="s">
        <v>131</v>
      </c>
      <c r="S45" s="11" t="s">
        <v>1111</v>
      </c>
      <c r="T45" s="12" t="s">
        <v>88</v>
      </c>
      <c r="U45" s="12" t="s">
        <v>212</v>
      </c>
      <c r="V45" s="12" t="s">
        <v>90</v>
      </c>
      <c r="W45" s="11" t="s">
        <v>1112</v>
      </c>
      <c r="X45" s="12" t="s">
        <v>108</v>
      </c>
      <c r="Y45" s="11"/>
      <c r="Z45" s="11" t="s">
        <v>542</v>
      </c>
      <c r="AA45" s="11" t="s">
        <v>549</v>
      </c>
      <c r="AB45" s="11"/>
      <c r="AC45" s="11"/>
      <c r="AD45" s="11" t="s">
        <v>1113</v>
      </c>
      <c r="AE45" s="11" t="s">
        <v>237</v>
      </c>
      <c r="AF45" s="11" t="s">
        <v>1114</v>
      </c>
      <c r="AG45" s="11" t="s">
        <v>1115</v>
      </c>
      <c r="AH45" s="11" t="s">
        <v>98</v>
      </c>
    </row>
    <row r="46" customFormat="false" ht="60" hidden="false" customHeight="true" outlineLevel="0" collapsed="false">
      <c r="A46" s="21" t="s">
        <v>416</v>
      </c>
      <c r="B46" s="28" t="n">
        <v>0</v>
      </c>
      <c r="C46" s="11" t="s">
        <v>73</v>
      </c>
      <c r="D46" s="12" t="s">
        <v>74</v>
      </c>
      <c r="E46" s="11" t="s">
        <v>1116</v>
      </c>
      <c r="F46" s="11" t="s">
        <v>1117</v>
      </c>
      <c r="G46" s="13" t="n">
        <v>46327</v>
      </c>
      <c r="H46" s="11" t="s">
        <v>77</v>
      </c>
      <c r="I46" s="11" t="s">
        <v>78</v>
      </c>
      <c r="J46" s="26" t="s">
        <v>541</v>
      </c>
      <c r="K46" s="12" t="s">
        <v>542</v>
      </c>
      <c r="L46" s="12" t="s">
        <v>542</v>
      </c>
      <c r="M46" s="11" t="s">
        <v>181</v>
      </c>
      <c r="N46" s="11" t="s">
        <v>208</v>
      </c>
      <c r="O46" s="15" t="s">
        <v>1118</v>
      </c>
      <c r="P46" s="12" t="s">
        <v>767</v>
      </c>
      <c r="Q46" s="11" t="s">
        <v>1119</v>
      </c>
      <c r="R46" s="11" t="s">
        <v>86</v>
      </c>
      <c r="S46" s="11" t="s">
        <v>291</v>
      </c>
      <c r="T46" s="12" t="s">
        <v>88</v>
      </c>
      <c r="U46" s="12" t="s">
        <v>1120</v>
      </c>
      <c r="V46" s="12" t="s">
        <v>90</v>
      </c>
      <c r="W46" s="11" t="s">
        <v>1121</v>
      </c>
      <c r="X46" s="12" t="s">
        <v>823</v>
      </c>
      <c r="Y46" s="11"/>
      <c r="Z46" s="11" t="s">
        <v>542</v>
      </c>
      <c r="AA46" s="11" t="s">
        <v>549</v>
      </c>
      <c r="AB46" s="11"/>
      <c r="AC46" s="11"/>
      <c r="AD46" s="11" t="s">
        <v>1122</v>
      </c>
      <c r="AE46" s="11" t="s">
        <v>237</v>
      </c>
      <c r="AF46" s="11"/>
      <c r="AG46" s="11" t="s">
        <v>1123</v>
      </c>
      <c r="AH46" s="11" t="s">
        <v>98</v>
      </c>
    </row>
    <row r="47" customFormat="false" ht="60" hidden="false" customHeight="true" outlineLevel="0" collapsed="false">
      <c r="A47" s="21" t="s">
        <v>416</v>
      </c>
      <c r="B47" s="28" t="n">
        <v>0</v>
      </c>
      <c r="C47" s="11" t="s">
        <v>73</v>
      </c>
      <c r="D47" s="12" t="s">
        <v>74</v>
      </c>
      <c r="E47" s="11" t="s">
        <v>947</v>
      </c>
      <c r="F47" s="11" t="s">
        <v>1124</v>
      </c>
      <c r="G47" s="13" t="n">
        <v>46327</v>
      </c>
      <c r="H47" s="11" t="s">
        <v>402</v>
      </c>
      <c r="I47" s="11" t="s">
        <v>1125</v>
      </c>
      <c r="J47" s="26" t="s">
        <v>541</v>
      </c>
      <c r="K47" s="12" t="s">
        <v>542</v>
      </c>
      <c r="L47" s="12" t="s">
        <v>542</v>
      </c>
      <c r="M47" s="11" t="s">
        <v>181</v>
      </c>
      <c r="N47" s="11" t="s">
        <v>208</v>
      </c>
      <c r="O47" s="15" t="s">
        <v>1126</v>
      </c>
      <c r="P47" s="12" t="s">
        <v>544</v>
      </c>
      <c r="Q47" s="11" t="s">
        <v>1127</v>
      </c>
      <c r="R47" s="11" t="s">
        <v>1128</v>
      </c>
      <c r="S47" s="11" t="s">
        <v>1129</v>
      </c>
      <c r="T47" s="12" t="s">
        <v>88</v>
      </c>
      <c r="U47" s="12" t="s">
        <v>953</v>
      </c>
      <c r="V47" s="12" t="s">
        <v>466</v>
      </c>
      <c r="W47" s="11" t="s">
        <v>1130</v>
      </c>
      <c r="X47" s="12" t="s">
        <v>955</v>
      </c>
      <c r="Y47" s="11"/>
      <c r="Z47" s="11" t="s">
        <v>542</v>
      </c>
      <c r="AA47" s="11" t="s">
        <v>549</v>
      </c>
      <c r="AB47" s="11"/>
      <c r="AC47" s="11"/>
      <c r="AD47" s="11" t="s">
        <v>1131</v>
      </c>
      <c r="AE47" s="11" t="s">
        <v>95</v>
      </c>
      <c r="AF47" s="11" t="s">
        <v>1132</v>
      </c>
      <c r="AG47" s="11" t="s">
        <v>838</v>
      </c>
      <c r="AH47" s="11" t="s">
        <v>344</v>
      </c>
    </row>
  </sheetData>
  <autoFilter ref="A1:AH47"/>
  <hyperlinks>
    <hyperlink ref="O2" r:id="rId1" display="https://hispanicoutlookjobs.com/job/8420/assistant-professor-tenure-track-management-entrepreneurship-27-28/"/>
    <hyperlink ref="O3" r:id="rId2" display="https://jobs.chronicle.com/employer/3b4a6e45-b584-456e-8b42-5d7ef99a34a6/wake-forest-university/hub/jobs"/>
    <hyperlink ref="O4" r:id="rId3" display="https://academiccareers.com/job/178060/assistant-professor-associate-professor/"/>
    <hyperlink ref="O5" r:id="rId4" display="https://yourfuture.sdbor.edu/postings/49810"/>
    <hyperlink ref="O6" r:id="rId5" display="https://unomaha.peopleadmin.com/postings/25782"/>
    <hyperlink ref="O7" r:id="rId6" display="https://uakron.wd1.myworkdayjobs.com/UACareers/job/Akron-Ohio/Associate-Professor--Accounting_JR103021-1"/>
    <hyperlink ref="O8" r:id="rId7" display="https://jobs.sandiego.edu/jobs/assistant-professor-of-accounting-san-diego-california-united-states"/>
    <hyperlink ref="O9" r:id="rId8" display="https://jobs.sandiego.edu/cw/en-us/Search/?search-keyword=&amp;category=faculty&amp;subscribe=true"/>
    <hyperlink ref="O10" r:id="rId9" display="https://careers.fresnostate.edu/"/>
    <hyperlink ref="O11" r:id="rId10" display="https://jobs.silkroad.com/APU/FacultyJobs/jobs/4609"/>
    <hyperlink ref="O12" r:id="rId11" display="https://careers.cfainstitute.org/profile/creighton-university/1332659/?srd=u"/>
    <hyperlink ref="O13" r:id="rId12" display="https://hispanicoutlookjobs.com/job/8414/assistant-professor-tenure-track-marketing-27-28/"/>
    <hyperlink ref="O14" r:id="rId13" display="https://www.higheredjobs.com/institution/search.cfm?aID=2508"/>
    <hyperlink ref="O15" r:id="rId14" display="https://www.fordham.edu/gabelli-school-of-business/faculty/prospective-faculty/"/>
    <hyperlink ref="O16" r:id="rId15" display="https://jobs.fma.org/jobs/state/georgia/"/>
    <hyperlink ref="O17" r:id="rId16" display="https://jobsearch.illinoisstate.edu/jobs/assistant-professor-of-marketing-normal-illinois-illinois-united-states-a49dff05-3130-41cf-acfc-7b244b9a3099"/>
    <hyperlink ref="O18" r:id="rId17" display="https://www.indeed.com/q-Jackson-State-University-jobs.html"/>
    <hyperlink ref="O19" r:id="rId18" display="https://www.indeed.com/q-Jackson-State-University-jobs.html"/>
    <hyperlink ref="O20" r:id="rId19" display="https://jobs.jmu.edu/jobs/assistant-professor-entrepreneurship-and-or-strategic-management-department-of-management-harrisonburg-virginia-united-states"/>
    <hyperlink ref="O21" r:id="rId20" display="https://www.higheredjobs.com/faculty/details.cfm?JobCode=179489839"/>
    <hyperlink ref="O22" r:id="rId21" display="https://marshall.peopleadmin.com/postings/32608"/>
    <hyperlink ref="O23" r:id="rId22" display="https://www.jobleads.com/us/job/tenure-track-accounting-professor-research-teaching-online--portland--e9ebd94100195c08eac87f7d15845a1ce"/>
    <hyperlink ref="O24" r:id="rId23" display="https://jobs.rutgers.edu/postings/281993"/>
    <hyperlink ref="O25" r:id="rId24" display="https://sju.wd1.myworkdayjobs.com/en-US/SJU/job/Assistant-Professor--Management_JR101164"/>
    <hyperlink ref="O26" r:id="rId25" display="https://jobs.chronicle.com/job/38043473/assistant-professor-of-computer-science/"/>
    <hyperlink ref="O27" r:id="rId26" display="https://careers.scsu.edu/en/listing/?page=2&amp;page-items=20"/>
    <hyperlink ref="O28" r:id="rId27" display="https://jobs.chronicle.com/job/38033422/assistant-professor-tenure-track-of-accounting/?TrackID=10"/>
    <hyperlink ref="O29" r:id="rId28" display="https://tamus.wd1.myworkdayjobs.com/en-US/System-wide_External/job/Assistant-Professor-Tenure-Track-of-Real-Estate_R-093884-1"/>
    <hyperlink ref="O30" r:id="rId29" display="https://jobs.tcu.edu/jobs/assistant-professor-of-management-tcu-main-campus-texas-united-states"/>
    <hyperlink ref="O31" r:id="rId30" display="https://www.higheredjobs.com/details.cfm?JobCode=179382837"/>
    <hyperlink ref="O32" r:id="rId31" display="https://www.uprm.edu/empleos/en/"/>
    <hyperlink ref="O33" r:id="rId32" display="https://jobs.sandiego.edu/cw/en-us/Search/?search-keyword=&amp;category=faculty&amp;subscribe=true"/>
    <hyperlink ref="O34" r:id="rId33" display="https://careers.uwf.edu/jobs/search/all-faculty"/>
    <hyperlink ref="O35" r:id="rId34" display="https://careers.uwf.edu/jobs/search/all-faculty"/>
    <hyperlink ref="O36" r:id="rId35" display="https://jobs.chronicle.com/employer/3b4a6e45-b584-456e-8b42-5d7ef99a34a6/wake-forest-university/hub/jobs"/>
    <hyperlink ref="O37" r:id="rId36" display="https://jobs.chronicle.com/job/38027873/tenure-track-positions-fall-2027/"/>
    <hyperlink ref="O38" r:id="rId37" display="https://www.wmujobs.org/postings/5013"/>
    <hyperlink ref="O39" r:id="rId38" display="https://jobs.chronicle.com/job/38045655/assistant-professor-of-economics/"/>
    <hyperlink ref="O40" r:id="rId39" display="https://jobs.chronicle.com/job/38043131/assistant-professor-of-accounting/"/>
    <hyperlink ref="O41" r:id="rId40" display="https://jobs.chronicle.com/job/38043137/assistant-professor-of-real-estate/"/>
    <hyperlink ref="O42" r:id="rId41" display="https://jobs.wichita.edu/jobs/search/faculty-search"/>
    <hyperlink ref="O43" r:id="rId42" display="https://www.higheredjobs.com/faculty/details.cfm?JobCode=179458351"/>
    <hyperlink ref="O44" r:id="rId43" display="https://careers.uwf.edu/jobs/search/all-faculty"/>
    <hyperlink ref="O45" r:id="rId44" display="https://careercenter.aaahq.org/job/269287/open-rank-tenure-track-faculty-position/?TrackID=9"/>
    <hyperlink ref="O46" r:id="rId45" display="https://jobs.chronicle.com/job/38049875/assistant-associate-professor-of-management-college-of-business-3313-/"/>
    <hyperlink ref="O47" r:id="rId46" display="https://jobs.hrc.pdx.edu/postings/5080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22"/>
    <col collapsed="false" customWidth="true" hidden="false" outlineLevel="0" max="4" min="4" style="0" width="11"/>
    <col collapsed="false" customWidth="true" hidden="false" outlineLevel="0" max="5" min="5" style="0" width="22"/>
    <col collapsed="false" customWidth="true" hidden="false" outlineLevel="0" max="6" min="6" style="0" width="36"/>
    <col collapsed="false" customWidth="true" hidden="false" outlineLevel="0" max="7" min="7" style="0" width="11"/>
    <col collapsed="false" customWidth="true" hidden="false" outlineLevel="0" max="9" min="8" style="0" width="16"/>
    <col collapsed="false" customWidth="true" hidden="false" outlineLevel="0" max="10" min="10" style="0" width="30"/>
    <col collapsed="false" customWidth="true" hidden="false" outlineLevel="0" max="11" min="11" style="0" width="14"/>
    <col collapsed="false" customWidth="true" hidden="false" outlineLevel="0" max="12" min="12" style="0" width="13"/>
    <col collapsed="false" customWidth="true" hidden="false" outlineLevel="0" max="13" min="13" style="0" width="26"/>
    <col collapsed="false" customWidth="true" hidden="false" outlineLevel="0" max="14" min="14" style="0" width="30"/>
    <col collapsed="false" customWidth="true" hidden="false" outlineLevel="0" max="15" min="15" style="0" width="35"/>
    <col collapsed="false" customWidth="true" hidden="false" outlineLevel="0" max="16" min="16" style="0" width="11"/>
    <col collapsed="false" customWidth="true" hidden="false" outlineLevel="0" max="18" min="17" style="0" width="22"/>
    <col collapsed="false" customWidth="true" hidden="false" outlineLevel="0" max="19" min="19" style="0" width="16"/>
    <col collapsed="false" customWidth="true" hidden="false" outlineLevel="0" max="21" min="20" style="0" width="6"/>
    <col collapsed="false" customWidth="true" hidden="false" outlineLevel="0" max="22" min="22" style="0" width="11"/>
    <col collapsed="false" customWidth="true" hidden="false" outlineLevel="0" max="23" min="23" style="0" width="45"/>
    <col collapsed="false" customWidth="true" hidden="false" outlineLevel="0" max="24" min="24" style="0" width="14"/>
    <col collapsed="false" customWidth="true" hidden="false" outlineLevel="0" max="25" min="25" style="0" width="40"/>
    <col collapsed="false" customWidth="true" hidden="false" outlineLevel="0" max="26" min="26" style="0" width="22"/>
    <col collapsed="false" customWidth="true" hidden="false" outlineLevel="0" max="29" min="27" style="0" width="40"/>
    <col collapsed="false" customWidth="true" hidden="false" outlineLevel="0" max="30" min="30" style="0" width="45"/>
    <col collapsed="false" customWidth="true" hidden="false" outlineLevel="0" max="31" min="31" style="0" width="18"/>
    <col collapsed="false" customWidth="true" hidden="false" outlineLevel="0" max="32" min="32" style="0" width="30"/>
    <col collapsed="false" customWidth="true" hidden="false" outlineLevel="0" max="33" min="33" style="0" width="40"/>
    <col collapsed="false" customWidth="true" hidden="false" outlineLevel="0" max="34" min="34" style="0" width="16"/>
  </cols>
  <sheetData>
    <row r="1" customFormat="false" ht="42" hidden="false" customHeight="true" outlineLevel="0" collapsed="false">
      <c r="A1" s="8" t="s">
        <v>40</v>
      </c>
      <c r="B1" s="8" t="s">
        <v>41</v>
      </c>
      <c r="C1" s="8" t="s">
        <v>42</v>
      </c>
      <c r="D1" s="8" t="s">
        <v>43</v>
      </c>
      <c r="E1" s="8" t="s">
        <v>44</v>
      </c>
      <c r="F1" s="8" t="s">
        <v>45</v>
      </c>
      <c r="G1" s="8" t="s">
        <v>46</v>
      </c>
      <c r="H1" s="8" t="s">
        <v>47</v>
      </c>
      <c r="I1" s="8" t="s">
        <v>48</v>
      </c>
      <c r="J1" s="8" t="s">
        <v>49</v>
      </c>
      <c r="K1" s="8" t="s">
        <v>50</v>
      </c>
      <c r="L1" s="8" t="s">
        <v>51</v>
      </c>
      <c r="M1" s="8" t="s">
        <v>32</v>
      </c>
      <c r="N1" s="8" t="s">
        <v>52</v>
      </c>
      <c r="O1" s="8" t="s">
        <v>53</v>
      </c>
      <c r="P1" s="8" t="s">
        <v>54</v>
      </c>
      <c r="Q1" s="8" t="s">
        <v>55</v>
      </c>
      <c r="R1" s="8" t="s">
        <v>56</v>
      </c>
      <c r="S1" s="8" t="s">
        <v>57</v>
      </c>
      <c r="T1" s="8" t="s">
        <v>58</v>
      </c>
      <c r="U1" s="8" t="s">
        <v>59</v>
      </c>
      <c r="V1" s="8" t="s">
        <v>60</v>
      </c>
      <c r="W1" s="8" t="s">
        <v>61</v>
      </c>
      <c r="X1" s="8" t="s">
        <v>62</v>
      </c>
      <c r="Y1" s="8" t="s">
        <v>63</v>
      </c>
      <c r="Z1" s="8" t="s">
        <v>64</v>
      </c>
      <c r="AA1" s="8" t="s">
        <v>65</v>
      </c>
      <c r="AB1" s="8" t="s">
        <v>66</v>
      </c>
      <c r="AC1" s="8" t="s">
        <v>67</v>
      </c>
      <c r="AD1" s="8" t="s">
        <v>68</v>
      </c>
      <c r="AE1" s="8" t="s">
        <v>69</v>
      </c>
      <c r="AF1" s="8" t="s">
        <v>70</v>
      </c>
      <c r="AG1" s="8" t="s">
        <v>71</v>
      </c>
      <c r="AH1" s="8" t="s">
        <v>34</v>
      </c>
    </row>
    <row r="2" customFormat="false" ht="60" hidden="false" customHeight="true" outlineLevel="0" collapsed="false">
      <c r="A2" s="29" t="s">
        <v>1133</v>
      </c>
      <c r="B2" s="10" t="n">
        <v>5</v>
      </c>
      <c r="C2" s="11" t="s">
        <v>73</v>
      </c>
      <c r="D2" s="12" t="s">
        <v>74</v>
      </c>
      <c r="E2" s="11" t="s">
        <v>1134</v>
      </c>
      <c r="F2" s="11" t="s">
        <v>1135</v>
      </c>
      <c r="G2" s="12"/>
      <c r="H2" s="11" t="s">
        <v>164</v>
      </c>
      <c r="I2" s="11" t="s">
        <v>165</v>
      </c>
      <c r="J2" s="17" t="s">
        <v>179</v>
      </c>
      <c r="K2" s="12" t="s">
        <v>165</v>
      </c>
      <c r="L2" s="12" t="s">
        <v>180</v>
      </c>
      <c r="M2" s="11" t="s">
        <v>302</v>
      </c>
      <c r="N2" s="11" t="s">
        <v>208</v>
      </c>
      <c r="O2" s="15" t="s">
        <v>1136</v>
      </c>
      <c r="P2" s="12" t="s">
        <v>1137</v>
      </c>
      <c r="Q2" s="11" t="s">
        <v>1138</v>
      </c>
      <c r="R2" s="11" t="s">
        <v>1139</v>
      </c>
      <c r="S2" s="11" t="s">
        <v>1140</v>
      </c>
      <c r="T2" s="12" t="s">
        <v>88</v>
      </c>
      <c r="U2" s="12" t="s">
        <v>478</v>
      </c>
      <c r="V2" s="12" t="s">
        <v>90</v>
      </c>
      <c r="W2" s="11" t="s">
        <v>1141</v>
      </c>
      <c r="X2" s="12" t="s">
        <v>560</v>
      </c>
      <c r="Y2" s="11" t="s">
        <v>1142</v>
      </c>
      <c r="Z2" s="11" t="s">
        <v>188</v>
      </c>
      <c r="AA2" s="11" t="s">
        <v>93</v>
      </c>
      <c r="AB2" s="11" t="s">
        <v>1143</v>
      </c>
      <c r="AC2" s="11" t="s">
        <v>1144</v>
      </c>
      <c r="AD2" s="11" t="s">
        <v>1145</v>
      </c>
      <c r="AE2" s="11" t="s">
        <v>95</v>
      </c>
      <c r="AF2" s="11" t="s">
        <v>1146</v>
      </c>
      <c r="AG2" s="11" t="s">
        <v>1147</v>
      </c>
      <c r="AH2" s="11" t="s">
        <v>344</v>
      </c>
    </row>
    <row r="3" customFormat="false" ht="60" hidden="false" customHeight="true" outlineLevel="0" collapsed="false">
      <c r="A3" s="29" t="s">
        <v>1133</v>
      </c>
      <c r="B3" s="19" t="n">
        <v>4</v>
      </c>
      <c r="C3" s="11" t="s">
        <v>73</v>
      </c>
      <c r="D3" s="12" t="s">
        <v>74</v>
      </c>
      <c r="E3" s="11" t="s">
        <v>345</v>
      </c>
      <c r="F3" s="11" t="s">
        <v>1148</v>
      </c>
      <c r="G3" s="12"/>
      <c r="H3" s="11" t="s">
        <v>164</v>
      </c>
      <c r="I3" s="11" t="s">
        <v>165</v>
      </c>
      <c r="J3" s="17" t="s">
        <v>179</v>
      </c>
      <c r="K3" s="12" t="s">
        <v>165</v>
      </c>
      <c r="L3" s="12" t="s">
        <v>180</v>
      </c>
      <c r="M3" s="11" t="s">
        <v>302</v>
      </c>
      <c r="N3" s="11" t="s">
        <v>208</v>
      </c>
      <c r="O3" s="15" t="s">
        <v>1149</v>
      </c>
      <c r="P3" s="12" t="s">
        <v>1137</v>
      </c>
      <c r="Q3" s="11" t="s">
        <v>1150</v>
      </c>
      <c r="R3" s="11" t="s">
        <v>1151</v>
      </c>
      <c r="S3" s="11" t="s">
        <v>118</v>
      </c>
      <c r="T3" s="12" t="s">
        <v>88</v>
      </c>
      <c r="U3" s="12" t="s">
        <v>355</v>
      </c>
      <c r="V3" s="12" t="s">
        <v>90</v>
      </c>
      <c r="W3" s="11" t="s">
        <v>1152</v>
      </c>
      <c r="X3" s="12" t="s">
        <v>560</v>
      </c>
      <c r="Y3" s="11" t="s">
        <v>1153</v>
      </c>
      <c r="Z3" s="11" t="s">
        <v>188</v>
      </c>
      <c r="AA3" s="11" t="s">
        <v>93</v>
      </c>
      <c r="AB3" s="11" t="s">
        <v>1154</v>
      </c>
      <c r="AC3" s="11" t="s">
        <v>1155</v>
      </c>
      <c r="AD3" s="11" t="s">
        <v>1156</v>
      </c>
      <c r="AE3" s="11" t="s">
        <v>174</v>
      </c>
      <c r="AF3" s="11" t="s">
        <v>1157</v>
      </c>
      <c r="AG3" s="11" t="s">
        <v>1158</v>
      </c>
      <c r="AH3" s="11" t="s">
        <v>344</v>
      </c>
    </row>
    <row r="4" customFormat="false" ht="60" hidden="false" customHeight="true" outlineLevel="0" collapsed="false">
      <c r="A4" s="29" t="s">
        <v>1133</v>
      </c>
      <c r="B4" s="22" t="n">
        <v>3</v>
      </c>
      <c r="C4" s="11" t="s">
        <v>73</v>
      </c>
      <c r="D4" s="12" t="s">
        <v>74</v>
      </c>
      <c r="E4" s="11" t="s">
        <v>896</v>
      </c>
      <c r="F4" s="11" t="s">
        <v>1159</v>
      </c>
      <c r="G4" s="12"/>
      <c r="H4" s="11" t="s">
        <v>164</v>
      </c>
      <c r="I4" s="11" t="s">
        <v>165</v>
      </c>
      <c r="J4" s="17" t="s">
        <v>179</v>
      </c>
      <c r="K4" s="12" t="s">
        <v>165</v>
      </c>
      <c r="L4" s="12" t="s">
        <v>180</v>
      </c>
      <c r="M4" s="11" t="s">
        <v>302</v>
      </c>
      <c r="N4" s="11" t="s">
        <v>208</v>
      </c>
      <c r="O4" s="15" t="s">
        <v>1160</v>
      </c>
      <c r="P4" s="12" t="s">
        <v>1137</v>
      </c>
      <c r="Q4" s="11" t="s">
        <v>1161</v>
      </c>
      <c r="R4" s="11" t="s">
        <v>1162</v>
      </c>
      <c r="S4" s="11" t="s">
        <v>845</v>
      </c>
      <c r="T4" s="12" t="s">
        <v>88</v>
      </c>
      <c r="U4" s="12" t="s">
        <v>119</v>
      </c>
      <c r="V4" s="12" t="s">
        <v>466</v>
      </c>
      <c r="W4" s="11" t="s">
        <v>1163</v>
      </c>
      <c r="X4" s="12" t="s">
        <v>560</v>
      </c>
      <c r="Y4" s="11" t="s">
        <v>1164</v>
      </c>
      <c r="Z4" s="11" t="s">
        <v>188</v>
      </c>
      <c r="AA4" s="11" t="s">
        <v>93</v>
      </c>
      <c r="AB4" s="11" t="s">
        <v>1165</v>
      </c>
      <c r="AC4" s="11" t="s">
        <v>1166</v>
      </c>
      <c r="AD4" s="11" t="s">
        <v>1167</v>
      </c>
      <c r="AE4" s="11" t="s">
        <v>735</v>
      </c>
      <c r="AF4" s="11" t="s">
        <v>1168</v>
      </c>
      <c r="AG4" s="11" t="s">
        <v>1169</v>
      </c>
      <c r="AH4" s="11" t="s">
        <v>553</v>
      </c>
    </row>
    <row r="5" customFormat="false" ht="60" hidden="false" customHeight="true" outlineLevel="0" collapsed="false">
      <c r="A5" s="29" t="s">
        <v>1133</v>
      </c>
      <c r="B5" s="24" t="n">
        <v>2</v>
      </c>
      <c r="C5" s="11" t="s">
        <v>73</v>
      </c>
      <c r="D5" s="12" t="s">
        <v>74</v>
      </c>
      <c r="E5" s="11" t="s">
        <v>1170</v>
      </c>
      <c r="F5" s="11" t="s">
        <v>1171</v>
      </c>
      <c r="G5" s="13" t="n">
        <v>46279</v>
      </c>
      <c r="H5" s="11" t="s">
        <v>402</v>
      </c>
      <c r="I5" s="11" t="s">
        <v>1172</v>
      </c>
      <c r="J5" s="17" t="s">
        <v>179</v>
      </c>
      <c r="K5" s="12" t="s">
        <v>165</v>
      </c>
      <c r="L5" s="12" t="s">
        <v>180</v>
      </c>
      <c r="M5" s="11" t="s">
        <v>181</v>
      </c>
      <c r="N5" s="11" t="s">
        <v>208</v>
      </c>
      <c r="O5" s="15" t="s">
        <v>1173</v>
      </c>
      <c r="P5" s="12" t="s">
        <v>1137</v>
      </c>
      <c r="Q5" s="11" t="s">
        <v>518</v>
      </c>
      <c r="R5" s="11" t="s">
        <v>1174</v>
      </c>
      <c r="S5" s="11" t="s">
        <v>118</v>
      </c>
      <c r="T5" s="12" t="s">
        <v>88</v>
      </c>
      <c r="U5" s="12" t="s">
        <v>229</v>
      </c>
      <c r="V5" s="12" t="s">
        <v>90</v>
      </c>
      <c r="W5" s="11" t="s">
        <v>1175</v>
      </c>
      <c r="X5" s="12" t="s">
        <v>108</v>
      </c>
      <c r="Y5" s="11" t="s">
        <v>1176</v>
      </c>
      <c r="Z5" s="11" t="s">
        <v>188</v>
      </c>
      <c r="AA5" s="11" t="s">
        <v>93</v>
      </c>
      <c r="AB5" s="11" t="s">
        <v>1177</v>
      </c>
      <c r="AC5" s="11" t="s">
        <v>1178</v>
      </c>
      <c r="AD5" s="11" t="s">
        <v>1179</v>
      </c>
      <c r="AE5" s="11" t="s">
        <v>95</v>
      </c>
      <c r="AF5" s="11" t="s">
        <v>1180</v>
      </c>
      <c r="AG5" s="11" t="s">
        <v>1181</v>
      </c>
      <c r="AH5" s="11" t="s">
        <v>98</v>
      </c>
    </row>
  </sheetData>
  <autoFilter ref="A1:AH5"/>
  <hyperlinks>
    <hyperlink ref="O2" r:id="rId1" display="https://careers.mtsu.edu/en-us/job/498022/information-systems-and-analytics-tenuretrack-faculty"/>
    <hyperlink ref="O3" r:id="rId2" display="https://jobs.chronicle.com/jobs/illinois/tenured-tenured-track/full-time/"/>
    <hyperlink ref="O4" r:id="rId3" display="https://www.indeed.com/m/jobs?q=Information+Technology&amp;l=Georgia+Southern,+GA"/>
    <hyperlink ref="O5" r:id="rId4" display="https://jobs.uncw.edu/postings/4043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6"/>
    <col collapsed="false" customWidth="true" hidden="false" outlineLevel="0" max="5" min="3" style="0" width="11"/>
    <col collapsed="false" customWidth="true" hidden="false" outlineLevel="0" max="6" min="6" style="0" width="40"/>
    <col collapsed="false" customWidth="true" hidden="false" outlineLevel="0" max="7" min="7" style="0" width="90"/>
  </cols>
  <sheetData>
    <row r="1" customFormat="false" ht="46.25" hidden="false" customHeight="false" outlineLevel="0" collapsed="false">
      <c r="A1" s="8" t="s">
        <v>44</v>
      </c>
      <c r="B1" s="8" t="s">
        <v>59</v>
      </c>
      <c r="C1" s="8" t="s">
        <v>1182</v>
      </c>
      <c r="D1" s="8" t="s">
        <v>1183</v>
      </c>
      <c r="E1" s="8" t="s">
        <v>1184</v>
      </c>
      <c r="F1" s="8" t="s">
        <v>1185</v>
      </c>
      <c r="G1" s="8" t="s">
        <v>1186</v>
      </c>
    </row>
    <row r="2" customFormat="false" ht="15" hidden="false" customHeight="false" outlineLevel="0" collapsed="false">
      <c r="A2" s="11" t="s">
        <v>206</v>
      </c>
      <c r="B2" s="11" t="s">
        <v>212</v>
      </c>
      <c r="C2" s="11" t="s">
        <v>1187</v>
      </c>
      <c r="D2" s="11" t="n">
        <v>1</v>
      </c>
      <c r="E2" s="11" t="n">
        <v>1</v>
      </c>
      <c r="F2" s="11" t="s">
        <v>1188</v>
      </c>
      <c r="G2" s="11"/>
    </row>
    <row r="3" customFormat="false" ht="366.4" hidden="false" customHeight="false" outlineLevel="0" collapsed="false">
      <c r="A3" s="11" t="s">
        <v>1189</v>
      </c>
      <c r="B3" s="11" t="s">
        <v>145</v>
      </c>
      <c r="C3" s="11" t="s">
        <v>1187</v>
      </c>
      <c r="D3" s="11" t="n">
        <v>0</v>
      </c>
      <c r="E3" s="11" t="n">
        <v>0</v>
      </c>
      <c r="F3" s="11" t="s">
        <v>1190</v>
      </c>
      <c r="G3" s="11" t="s">
        <v>1191</v>
      </c>
    </row>
    <row r="4" customFormat="false" ht="22.35" hidden="false" customHeight="false" outlineLevel="0" collapsed="false">
      <c r="A4" s="11" t="s">
        <v>1192</v>
      </c>
      <c r="B4" s="11" t="s">
        <v>106</v>
      </c>
      <c r="C4" s="11" t="s">
        <v>1193</v>
      </c>
      <c r="D4" s="11" t="n">
        <v>0</v>
      </c>
      <c r="E4" s="11" t="n">
        <v>0</v>
      </c>
      <c r="F4" s="11" t="s">
        <v>1194</v>
      </c>
      <c r="G4" s="11"/>
    </row>
    <row r="5" customFormat="false" ht="15" hidden="false" customHeight="false" outlineLevel="0" collapsed="false">
      <c r="A5" s="11" t="s">
        <v>221</v>
      </c>
      <c r="B5" s="11" t="s">
        <v>229</v>
      </c>
      <c r="C5" s="11" t="s">
        <v>1187</v>
      </c>
      <c r="D5" s="11" t="n">
        <v>1</v>
      </c>
      <c r="E5" s="11" t="n">
        <v>0</v>
      </c>
      <c r="F5" s="11" t="s">
        <v>1188</v>
      </c>
      <c r="G5" s="11"/>
    </row>
    <row r="6" customFormat="false" ht="15" hidden="false" customHeight="false" outlineLevel="0" collapsed="false">
      <c r="A6" s="11" t="s">
        <v>400</v>
      </c>
      <c r="B6" s="11" t="s">
        <v>407</v>
      </c>
      <c r="C6" s="11" t="s">
        <v>1187</v>
      </c>
      <c r="D6" s="11" t="n">
        <v>1</v>
      </c>
      <c r="E6" s="11" t="n">
        <v>0</v>
      </c>
      <c r="F6" s="11" t="s">
        <v>1188</v>
      </c>
      <c r="G6" s="11"/>
    </row>
    <row r="7" customFormat="false" ht="15" hidden="false" customHeight="false" outlineLevel="0" collapsed="false">
      <c r="A7" s="11" t="s">
        <v>365</v>
      </c>
      <c r="B7" s="11" t="s">
        <v>119</v>
      </c>
      <c r="C7" s="11" t="s">
        <v>1187</v>
      </c>
      <c r="D7" s="11" t="n">
        <v>1</v>
      </c>
      <c r="E7" s="11" t="n">
        <v>0</v>
      </c>
      <c r="F7" s="11" t="s">
        <v>1188</v>
      </c>
      <c r="G7" s="11"/>
    </row>
    <row r="8" customFormat="false" ht="387.3" hidden="false" customHeight="false" outlineLevel="0" collapsed="false">
      <c r="A8" s="11" t="s">
        <v>851</v>
      </c>
      <c r="B8" s="11" t="s">
        <v>89</v>
      </c>
      <c r="C8" s="11" t="s">
        <v>1187</v>
      </c>
      <c r="D8" s="11" t="n">
        <v>0</v>
      </c>
      <c r="E8" s="11" t="n">
        <v>1</v>
      </c>
      <c r="F8" s="11" t="s">
        <v>1190</v>
      </c>
      <c r="G8" s="11" t="s">
        <v>1195</v>
      </c>
    </row>
    <row r="9" customFormat="false" ht="15" hidden="false" customHeight="false" outlineLevel="0" collapsed="false">
      <c r="A9" s="11" t="s">
        <v>240</v>
      </c>
      <c r="B9" s="11" t="s">
        <v>245</v>
      </c>
      <c r="C9" s="11" t="s">
        <v>1187</v>
      </c>
      <c r="D9" s="11" t="n">
        <v>1</v>
      </c>
      <c r="E9" s="11" t="n">
        <v>0</v>
      </c>
      <c r="F9" s="11" t="s">
        <v>1188</v>
      </c>
      <c r="G9" s="11"/>
    </row>
    <row r="10" customFormat="false" ht="491.75" hidden="false" customHeight="false" outlineLevel="0" collapsed="false">
      <c r="A10" s="11" t="s">
        <v>1196</v>
      </c>
      <c r="B10" s="11" t="s">
        <v>1120</v>
      </c>
      <c r="C10" s="11" t="s">
        <v>1187</v>
      </c>
      <c r="D10" s="11" t="n">
        <v>0</v>
      </c>
      <c r="E10" s="11" t="n">
        <v>0</v>
      </c>
      <c r="F10" s="11" t="s">
        <v>1190</v>
      </c>
      <c r="G10" s="11" t="s">
        <v>1197</v>
      </c>
    </row>
    <row r="11" customFormat="false" ht="15" hidden="false" customHeight="false" outlineLevel="0" collapsed="false">
      <c r="A11" s="11" t="s">
        <v>417</v>
      </c>
      <c r="B11" s="11" t="s">
        <v>145</v>
      </c>
      <c r="C11" s="11" t="s">
        <v>1187</v>
      </c>
      <c r="D11" s="11" t="n">
        <v>1</v>
      </c>
      <c r="E11" s="11" t="n">
        <v>0</v>
      </c>
      <c r="F11" s="11" t="s">
        <v>1188</v>
      </c>
      <c r="G11" s="11"/>
    </row>
    <row r="12" customFormat="false" ht="460.4" hidden="false" customHeight="false" outlineLevel="0" collapsed="false">
      <c r="A12" s="11" t="s">
        <v>1198</v>
      </c>
      <c r="B12" s="11" t="s">
        <v>106</v>
      </c>
      <c r="C12" s="11" t="s">
        <v>1187</v>
      </c>
      <c r="D12" s="11" t="n">
        <v>0</v>
      </c>
      <c r="E12" s="11" t="n">
        <v>0</v>
      </c>
      <c r="F12" s="11" t="s">
        <v>1190</v>
      </c>
      <c r="G12" s="11" t="s">
        <v>1199</v>
      </c>
    </row>
    <row r="13" customFormat="false" ht="397.75" hidden="false" customHeight="false" outlineLevel="0" collapsed="false">
      <c r="A13" s="11" t="s">
        <v>1200</v>
      </c>
      <c r="B13" s="11" t="s">
        <v>106</v>
      </c>
      <c r="C13" s="11" t="s">
        <v>1187</v>
      </c>
      <c r="D13" s="11" t="n">
        <v>0</v>
      </c>
      <c r="E13" s="11" t="n">
        <v>0</v>
      </c>
      <c r="F13" s="11" t="s">
        <v>1190</v>
      </c>
      <c r="G13" s="11" t="s">
        <v>1201</v>
      </c>
    </row>
    <row r="14" customFormat="false" ht="15" hidden="false" customHeight="false" outlineLevel="0" collapsed="false">
      <c r="A14" s="11" t="s">
        <v>126</v>
      </c>
      <c r="B14" s="11" t="s">
        <v>89</v>
      </c>
      <c r="C14" s="11" t="s">
        <v>1187</v>
      </c>
      <c r="D14" s="11" t="n">
        <v>1</v>
      </c>
      <c r="E14" s="11" t="n">
        <v>0</v>
      </c>
      <c r="F14" s="11" t="s">
        <v>1188</v>
      </c>
      <c r="G14" s="11"/>
    </row>
    <row r="15" customFormat="false" ht="15" hidden="false" customHeight="false" outlineLevel="0" collapsed="false">
      <c r="A15" s="11" t="s">
        <v>839</v>
      </c>
      <c r="B15" s="11" t="s">
        <v>89</v>
      </c>
      <c r="C15" s="11" t="s">
        <v>1187</v>
      </c>
      <c r="D15" s="11" t="n">
        <v>0</v>
      </c>
      <c r="E15" s="11" t="n">
        <v>1</v>
      </c>
      <c r="F15" s="11" t="s">
        <v>1188</v>
      </c>
      <c r="G15" s="11"/>
    </row>
    <row r="16" customFormat="false" ht="15" hidden="false" customHeight="false" outlineLevel="0" collapsed="false">
      <c r="A16" s="11" t="s">
        <v>528</v>
      </c>
      <c r="B16" s="11" t="s">
        <v>89</v>
      </c>
      <c r="C16" s="11" t="s">
        <v>1187</v>
      </c>
      <c r="D16" s="11" t="n">
        <v>2</v>
      </c>
      <c r="E16" s="11" t="n">
        <v>0</v>
      </c>
      <c r="F16" s="11" t="s">
        <v>1188</v>
      </c>
      <c r="G16" s="11"/>
    </row>
    <row r="17" customFormat="false" ht="15" hidden="false" customHeight="false" outlineLevel="0" collapsed="false">
      <c r="A17" s="11" t="s">
        <v>75</v>
      </c>
      <c r="B17" s="11" t="s">
        <v>89</v>
      </c>
      <c r="C17" s="11" t="s">
        <v>1187</v>
      </c>
      <c r="D17" s="11" t="n">
        <v>2</v>
      </c>
      <c r="E17" s="11" t="n">
        <v>0</v>
      </c>
      <c r="F17" s="11" t="s">
        <v>1188</v>
      </c>
      <c r="G17" s="11"/>
    </row>
    <row r="18" customFormat="false" ht="450" hidden="false" customHeight="false" outlineLevel="0" collapsed="false">
      <c r="A18" s="11" t="s">
        <v>1202</v>
      </c>
      <c r="B18" s="11" t="s">
        <v>89</v>
      </c>
      <c r="C18" s="11" t="s">
        <v>1187</v>
      </c>
      <c r="D18" s="11" t="n">
        <v>0</v>
      </c>
      <c r="E18" s="11" t="n">
        <v>0</v>
      </c>
      <c r="F18" s="11" t="s">
        <v>1190</v>
      </c>
      <c r="G18" s="11" t="s">
        <v>1203</v>
      </c>
    </row>
    <row r="19" customFormat="false" ht="523.1" hidden="false" customHeight="false" outlineLevel="0" collapsed="false">
      <c r="A19" s="11" t="s">
        <v>1204</v>
      </c>
      <c r="B19" s="11" t="s">
        <v>89</v>
      </c>
      <c r="C19" s="11" t="s">
        <v>1187</v>
      </c>
      <c r="D19" s="11" t="n">
        <v>0</v>
      </c>
      <c r="E19" s="11" t="n">
        <v>0</v>
      </c>
      <c r="F19" s="11" t="s">
        <v>1190</v>
      </c>
      <c r="G19" s="11" t="s">
        <v>1205</v>
      </c>
    </row>
    <row r="20" customFormat="false" ht="397.75" hidden="false" customHeight="false" outlineLevel="0" collapsed="false">
      <c r="A20" s="11" t="s">
        <v>1206</v>
      </c>
      <c r="B20" s="11" t="s">
        <v>335</v>
      </c>
      <c r="C20" s="11" t="s">
        <v>1187</v>
      </c>
      <c r="D20" s="11" t="n">
        <v>0</v>
      </c>
      <c r="E20" s="11" t="n">
        <v>0</v>
      </c>
      <c r="F20" s="11" t="s">
        <v>1190</v>
      </c>
      <c r="G20" s="11" t="s">
        <v>1207</v>
      </c>
    </row>
    <row r="21" customFormat="false" ht="15" hidden="false" customHeight="false" outlineLevel="0" collapsed="false">
      <c r="A21" s="11" t="s">
        <v>254</v>
      </c>
      <c r="B21" s="11" t="s">
        <v>89</v>
      </c>
      <c r="C21" s="11" t="s">
        <v>1187</v>
      </c>
      <c r="D21" s="11" t="n">
        <v>1</v>
      </c>
      <c r="E21" s="11" t="n">
        <v>0</v>
      </c>
      <c r="F21" s="11" t="s">
        <v>1188</v>
      </c>
      <c r="G21" s="11"/>
    </row>
    <row r="22" customFormat="false" ht="460.4" hidden="false" customHeight="false" outlineLevel="0" collapsed="false">
      <c r="A22" s="11" t="s">
        <v>1208</v>
      </c>
      <c r="B22" s="11" t="s">
        <v>89</v>
      </c>
      <c r="C22" s="11" t="s">
        <v>1187</v>
      </c>
      <c r="D22" s="11" t="n">
        <v>0</v>
      </c>
      <c r="E22" s="11" t="n">
        <v>0</v>
      </c>
      <c r="F22" s="11" t="s">
        <v>1190</v>
      </c>
      <c r="G22" s="11" t="s">
        <v>1209</v>
      </c>
    </row>
    <row r="23" customFormat="false" ht="325.35" hidden="false" customHeight="false" outlineLevel="0" collapsed="false">
      <c r="A23" s="11" t="s">
        <v>1210</v>
      </c>
      <c r="B23" s="11" t="s">
        <v>119</v>
      </c>
      <c r="C23" s="11" t="s">
        <v>1187</v>
      </c>
      <c r="D23" s="11" t="n">
        <v>0</v>
      </c>
      <c r="E23" s="11" t="n">
        <v>0</v>
      </c>
      <c r="F23" s="11" t="s">
        <v>1190</v>
      </c>
      <c r="G23" s="11" t="s">
        <v>1211</v>
      </c>
    </row>
    <row r="24" customFormat="false" ht="294" hidden="false" customHeight="false" outlineLevel="0" collapsed="false">
      <c r="A24" s="11" t="s">
        <v>1212</v>
      </c>
      <c r="B24" s="11" t="s">
        <v>1213</v>
      </c>
      <c r="C24" s="11" t="s">
        <v>1187</v>
      </c>
      <c r="D24" s="11" t="n">
        <v>0</v>
      </c>
      <c r="E24" s="11" t="n">
        <v>0</v>
      </c>
      <c r="F24" s="11" t="s">
        <v>1190</v>
      </c>
      <c r="G24" s="11" t="s">
        <v>1214</v>
      </c>
    </row>
    <row r="25" customFormat="false" ht="335.05" hidden="false" customHeight="false" outlineLevel="0" collapsed="false">
      <c r="A25" s="11" t="s">
        <v>1215</v>
      </c>
      <c r="B25" s="11" t="s">
        <v>106</v>
      </c>
      <c r="C25" s="11" t="s">
        <v>1187</v>
      </c>
      <c r="D25" s="11" t="n">
        <v>0</v>
      </c>
      <c r="E25" s="11" t="n">
        <v>0</v>
      </c>
      <c r="F25" s="11" t="s">
        <v>1190</v>
      </c>
      <c r="G25" s="11" t="s">
        <v>1216</v>
      </c>
    </row>
    <row r="26" customFormat="false" ht="283.55" hidden="false" customHeight="false" outlineLevel="0" collapsed="false">
      <c r="A26" s="11" t="s">
        <v>1217</v>
      </c>
      <c r="B26" s="11" t="s">
        <v>145</v>
      </c>
      <c r="C26" s="11" t="s">
        <v>1187</v>
      </c>
      <c r="D26" s="11" t="n">
        <v>0</v>
      </c>
      <c r="E26" s="11" t="n">
        <v>0</v>
      </c>
      <c r="F26" s="11" t="s">
        <v>1190</v>
      </c>
      <c r="G26" s="11" t="s">
        <v>1218</v>
      </c>
    </row>
    <row r="27" customFormat="false" ht="481.3" hidden="false" customHeight="false" outlineLevel="0" collapsed="false">
      <c r="A27" s="11" t="s">
        <v>860</v>
      </c>
      <c r="B27" s="11" t="s">
        <v>810</v>
      </c>
      <c r="C27" s="11" t="s">
        <v>1187</v>
      </c>
      <c r="D27" s="11" t="n">
        <v>0</v>
      </c>
      <c r="E27" s="11" t="n">
        <v>1</v>
      </c>
      <c r="F27" s="11" t="s">
        <v>1190</v>
      </c>
      <c r="G27" s="11" t="s">
        <v>1219</v>
      </c>
    </row>
    <row r="28" customFormat="false" ht="15" hidden="false" customHeight="false" outlineLevel="0" collapsed="false">
      <c r="A28" s="11" t="s">
        <v>764</v>
      </c>
      <c r="B28" s="11" t="s">
        <v>355</v>
      </c>
      <c r="C28" s="11" t="s">
        <v>1187</v>
      </c>
      <c r="D28" s="11" t="n">
        <v>0</v>
      </c>
      <c r="E28" s="11" t="n">
        <v>2</v>
      </c>
      <c r="F28" s="11" t="s">
        <v>1188</v>
      </c>
      <c r="G28" s="11"/>
    </row>
    <row r="29" customFormat="false" ht="335.05" hidden="false" customHeight="false" outlineLevel="0" collapsed="false">
      <c r="A29" s="11" t="s">
        <v>1220</v>
      </c>
      <c r="B29" s="11" t="s">
        <v>1221</v>
      </c>
      <c r="C29" s="11" t="s">
        <v>1187</v>
      </c>
      <c r="D29" s="11" t="n">
        <v>0</v>
      </c>
      <c r="E29" s="11" t="n">
        <v>0</v>
      </c>
      <c r="F29" s="11" t="s">
        <v>1190</v>
      </c>
      <c r="G29" s="11" t="s">
        <v>1222</v>
      </c>
    </row>
    <row r="30" customFormat="false" ht="294" hidden="false" customHeight="false" outlineLevel="0" collapsed="false">
      <c r="A30" s="11" t="s">
        <v>1223</v>
      </c>
      <c r="B30" s="11" t="s">
        <v>320</v>
      </c>
      <c r="C30" s="11" t="s">
        <v>1187</v>
      </c>
      <c r="D30" s="11" t="n">
        <v>0</v>
      </c>
      <c r="E30" s="11" t="n">
        <v>0</v>
      </c>
      <c r="F30" s="11" t="s">
        <v>1190</v>
      </c>
      <c r="G30" s="11" t="s">
        <v>1224</v>
      </c>
    </row>
    <row r="31" customFormat="false" ht="439.55" hidden="false" customHeight="false" outlineLevel="0" collapsed="false">
      <c r="A31" s="11" t="s">
        <v>1225</v>
      </c>
      <c r="B31" s="11" t="s">
        <v>478</v>
      </c>
      <c r="C31" s="11" t="s">
        <v>1187</v>
      </c>
      <c r="D31" s="11" t="n">
        <v>0</v>
      </c>
      <c r="E31" s="11" t="n">
        <v>0</v>
      </c>
      <c r="F31" s="11" t="s">
        <v>1190</v>
      </c>
      <c r="G31" s="11" t="s">
        <v>1226</v>
      </c>
    </row>
    <row r="32" customFormat="false" ht="15" hidden="false" customHeight="false" outlineLevel="0" collapsed="false">
      <c r="A32" s="11" t="s">
        <v>445</v>
      </c>
      <c r="B32" s="11" t="s">
        <v>212</v>
      </c>
      <c r="C32" s="11" t="s">
        <v>1187</v>
      </c>
      <c r="D32" s="11" t="n">
        <v>1</v>
      </c>
      <c r="E32" s="11" t="n">
        <v>0</v>
      </c>
      <c r="F32" s="11" t="s">
        <v>1188</v>
      </c>
      <c r="G32" s="11"/>
    </row>
    <row r="33" customFormat="false" ht="304.45" hidden="false" customHeight="false" outlineLevel="0" collapsed="false">
      <c r="A33" s="11" t="s">
        <v>1227</v>
      </c>
      <c r="B33" s="11" t="s">
        <v>335</v>
      </c>
      <c r="C33" s="11" t="s">
        <v>1187</v>
      </c>
      <c r="D33" s="11" t="n">
        <v>0</v>
      </c>
      <c r="E33" s="11" t="n">
        <v>0</v>
      </c>
      <c r="F33" s="11" t="s">
        <v>1190</v>
      </c>
      <c r="G33" s="11" t="s">
        <v>1228</v>
      </c>
    </row>
    <row r="34" customFormat="false" ht="22.35" hidden="false" customHeight="false" outlineLevel="0" collapsed="false">
      <c r="A34" s="11" t="s">
        <v>1229</v>
      </c>
      <c r="B34" s="11" t="s">
        <v>274</v>
      </c>
      <c r="C34" s="11" t="s">
        <v>1193</v>
      </c>
      <c r="D34" s="11" t="n">
        <v>0</v>
      </c>
      <c r="E34" s="11" t="n">
        <v>0</v>
      </c>
      <c r="F34" s="11" t="s">
        <v>1194</v>
      </c>
      <c r="G34" s="11"/>
    </row>
    <row r="35" customFormat="false" ht="345.5" hidden="false" customHeight="false" outlineLevel="0" collapsed="false">
      <c r="A35" s="11" t="s">
        <v>458</v>
      </c>
      <c r="B35" s="11" t="s">
        <v>465</v>
      </c>
      <c r="C35" s="11" t="s">
        <v>1187</v>
      </c>
      <c r="D35" s="11" t="n">
        <v>2</v>
      </c>
      <c r="E35" s="11" t="n">
        <v>0</v>
      </c>
      <c r="F35" s="11" t="s">
        <v>1190</v>
      </c>
      <c r="G35" s="11" t="s">
        <v>1230</v>
      </c>
    </row>
    <row r="36" customFormat="false" ht="15" hidden="false" customHeight="false" outlineLevel="0" collapsed="false">
      <c r="A36" s="11" t="s">
        <v>875</v>
      </c>
      <c r="B36" s="11" t="s">
        <v>465</v>
      </c>
      <c r="C36" s="11" t="s">
        <v>1187</v>
      </c>
      <c r="D36" s="11" t="n">
        <v>0</v>
      </c>
      <c r="E36" s="11" t="n">
        <v>1</v>
      </c>
      <c r="F36" s="11" t="s">
        <v>1188</v>
      </c>
      <c r="G36" s="11"/>
    </row>
    <row r="37" customFormat="false" ht="355.95" hidden="false" customHeight="false" outlineLevel="0" collapsed="false">
      <c r="A37" s="11" t="s">
        <v>1231</v>
      </c>
      <c r="B37" s="11" t="s">
        <v>465</v>
      </c>
      <c r="C37" s="11" t="s">
        <v>1187</v>
      </c>
      <c r="D37" s="11" t="n">
        <v>0</v>
      </c>
      <c r="E37" s="11" t="n">
        <v>0</v>
      </c>
      <c r="F37" s="11" t="s">
        <v>1190</v>
      </c>
      <c r="G37" s="11" t="s">
        <v>1232</v>
      </c>
    </row>
    <row r="38" customFormat="false" ht="15" hidden="false" customHeight="false" outlineLevel="0" collapsed="false">
      <c r="A38" s="11" t="s">
        <v>885</v>
      </c>
      <c r="B38" s="11" t="s">
        <v>106</v>
      </c>
      <c r="C38" s="11" t="s">
        <v>1187</v>
      </c>
      <c r="D38" s="11" t="n">
        <v>0</v>
      </c>
      <c r="E38" s="11" t="n">
        <v>1</v>
      </c>
      <c r="F38" s="11" t="s">
        <v>1188</v>
      </c>
      <c r="G38" s="11"/>
    </row>
    <row r="39" customFormat="false" ht="325.35" hidden="false" customHeight="false" outlineLevel="0" collapsed="false">
      <c r="A39" s="11" t="s">
        <v>896</v>
      </c>
      <c r="B39" s="11" t="s">
        <v>119</v>
      </c>
      <c r="C39" s="11" t="s">
        <v>1187</v>
      </c>
      <c r="D39" s="11" t="n">
        <v>0</v>
      </c>
      <c r="E39" s="11" t="n">
        <v>1</v>
      </c>
      <c r="F39" s="11" t="s">
        <v>1190</v>
      </c>
      <c r="G39" s="11" t="s">
        <v>1233</v>
      </c>
    </row>
    <row r="40" customFormat="false" ht="15" hidden="false" customHeight="false" outlineLevel="0" collapsed="false">
      <c r="A40" s="11" t="s">
        <v>267</v>
      </c>
      <c r="B40" s="11" t="s">
        <v>274</v>
      </c>
      <c r="C40" s="11" t="s">
        <v>1187</v>
      </c>
      <c r="D40" s="11" t="n">
        <v>2</v>
      </c>
      <c r="E40" s="11" t="n">
        <v>0</v>
      </c>
      <c r="F40" s="11" t="s">
        <v>1188</v>
      </c>
      <c r="G40" s="11"/>
    </row>
    <row r="41" customFormat="false" ht="15" hidden="false" customHeight="false" outlineLevel="0" collapsed="false">
      <c r="A41" s="11" t="s">
        <v>99</v>
      </c>
      <c r="B41" s="11" t="s">
        <v>106</v>
      </c>
      <c r="C41" s="11" t="s">
        <v>1187</v>
      </c>
      <c r="D41" s="11" t="n">
        <v>1</v>
      </c>
      <c r="E41" s="11" t="n">
        <v>0</v>
      </c>
      <c r="F41" s="11" t="s">
        <v>1188</v>
      </c>
      <c r="G41" s="11"/>
    </row>
    <row r="42" customFormat="false" ht="22.35" hidden="false" customHeight="false" outlineLevel="0" collapsed="false">
      <c r="A42" s="11" t="s">
        <v>1234</v>
      </c>
      <c r="B42" s="11" t="s">
        <v>106</v>
      </c>
      <c r="C42" s="11" t="s">
        <v>1193</v>
      </c>
      <c r="D42" s="11" t="n">
        <v>0</v>
      </c>
      <c r="E42" s="11" t="n">
        <v>0</v>
      </c>
      <c r="F42" s="11" t="s">
        <v>1194</v>
      </c>
      <c r="G42" s="11"/>
    </row>
    <row r="43" customFormat="false" ht="15" hidden="false" customHeight="false" outlineLevel="0" collapsed="false">
      <c r="A43" s="11" t="s">
        <v>1116</v>
      </c>
      <c r="B43" s="11" t="s">
        <v>1120</v>
      </c>
      <c r="C43" s="11" t="s">
        <v>1187</v>
      </c>
      <c r="D43" s="11" t="n">
        <v>0</v>
      </c>
      <c r="E43" s="11" t="n">
        <v>1</v>
      </c>
      <c r="F43" s="11" t="s">
        <v>1188</v>
      </c>
      <c r="G43" s="11"/>
    </row>
    <row r="44" customFormat="false" ht="304.45" hidden="false" customHeight="false" outlineLevel="0" collapsed="false">
      <c r="A44" s="11" t="s">
        <v>345</v>
      </c>
      <c r="B44" s="11" t="s">
        <v>355</v>
      </c>
      <c r="C44" s="11" t="s">
        <v>1187</v>
      </c>
      <c r="D44" s="11" t="n">
        <v>2</v>
      </c>
      <c r="E44" s="11" t="n">
        <v>0</v>
      </c>
      <c r="F44" s="11" t="s">
        <v>1190</v>
      </c>
      <c r="G44" s="11" t="s">
        <v>1235</v>
      </c>
    </row>
    <row r="45" customFormat="false" ht="15" hidden="false" customHeight="false" outlineLevel="0" collapsed="false">
      <c r="A45" s="11" t="s">
        <v>904</v>
      </c>
      <c r="B45" s="11" t="s">
        <v>355</v>
      </c>
      <c r="C45" s="11" t="s">
        <v>1187</v>
      </c>
      <c r="D45" s="11" t="n">
        <v>0</v>
      </c>
      <c r="E45" s="11" t="n">
        <v>1</v>
      </c>
      <c r="F45" s="11" t="s">
        <v>1188</v>
      </c>
      <c r="G45" s="11"/>
    </row>
    <row r="46" customFormat="false" ht="304.45" hidden="false" customHeight="false" outlineLevel="0" collapsed="false">
      <c r="A46" s="11" t="s">
        <v>1236</v>
      </c>
      <c r="B46" s="11" t="s">
        <v>320</v>
      </c>
      <c r="C46" s="11" t="s">
        <v>1187</v>
      </c>
      <c r="D46" s="11" t="n">
        <v>0</v>
      </c>
      <c r="E46" s="11" t="n">
        <v>0</v>
      </c>
      <c r="F46" s="11" t="s">
        <v>1190</v>
      </c>
      <c r="G46" s="11" t="s">
        <v>1237</v>
      </c>
    </row>
    <row r="47" customFormat="false" ht="294" hidden="false" customHeight="false" outlineLevel="0" collapsed="false">
      <c r="A47" s="11" t="s">
        <v>913</v>
      </c>
      <c r="B47" s="11" t="s">
        <v>917</v>
      </c>
      <c r="C47" s="11" t="s">
        <v>1187</v>
      </c>
      <c r="D47" s="11" t="n">
        <v>0</v>
      </c>
      <c r="E47" s="11" t="n">
        <v>2</v>
      </c>
      <c r="F47" s="11" t="s">
        <v>1190</v>
      </c>
      <c r="G47" s="11" t="s">
        <v>1238</v>
      </c>
    </row>
    <row r="48" customFormat="false" ht="15" hidden="false" customHeight="false" outlineLevel="0" collapsed="false">
      <c r="A48" s="11" t="s">
        <v>924</v>
      </c>
      <c r="B48" s="11" t="s">
        <v>274</v>
      </c>
      <c r="C48" s="11" t="s">
        <v>1187</v>
      </c>
      <c r="D48" s="11" t="n">
        <v>0</v>
      </c>
      <c r="E48" s="11" t="n">
        <v>1</v>
      </c>
      <c r="F48" s="11" t="s">
        <v>1188</v>
      </c>
      <c r="G48" s="11"/>
    </row>
    <row r="49" customFormat="false" ht="418.65" hidden="false" customHeight="false" outlineLevel="0" collapsed="false">
      <c r="A49" s="11" t="s">
        <v>1239</v>
      </c>
      <c r="B49" s="11" t="s">
        <v>436</v>
      </c>
      <c r="C49" s="11" t="s">
        <v>1187</v>
      </c>
      <c r="D49" s="11" t="n">
        <v>0</v>
      </c>
      <c r="E49" s="11" t="n">
        <v>0</v>
      </c>
      <c r="F49" s="11" t="s">
        <v>1190</v>
      </c>
      <c r="G49" s="11" t="s">
        <v>1240</v>
      </c>
    </row>
    <row r="50" customFormat="false" ht="15" hidden="false" customHeight="false" outlineLevel="0" collapsed="false">
      <c r="A50" s="11" t="s">
        <v>112</v>
      </c>
      <c r="B50" s="11" t="s">
        <v>119</v>
      </c>
      <c r="C50" s="11" t="s">
        <v>1187</v>
      </c>
      <c r="D50" s="11" t="n">
        <v>2</v>
      </c>
      <c r="E50" s="11" t="n">
        <v>0</v>
      </c>
      <c r="F50" s="11" t="s">
        <v>1188</v>
      </c>
      <c r="G50" s="11"/>
    </row>
    <row r="51" customFormat="false" ht="22.35" hidden="false" customHeight="false" outlineLevel="0" collapsed="false">
      <c r="A51" s="11" t="s">
        <v>1241</v>
      </c>
      <c r="B51" s="11" t="s">
        <v>1242</v>
      </c>
      <c r="C51" s="11" t="s">
        <v>1193</v>
      </c>
      <c r="D51" s="11" t="n">
        <v>0</v>
      </c>
      <c r="E51" s="11" t="n">
        <v>0</v>
      </c>
      <c r="F51" s="11" t="s">
        <v>1194</v>
      </c>
      <c r="G51" s="11"/>
    </row>
    <row r="52" customFormat="false" ht="15" hidden="false" customHeight="false" outlineLevel="0" collapsed="false">
      <c r="A52" s="11" t="s">
        <v>669</v>
      </c>
      <c r="B52" s="11" t="s">
        <v>212</v>
      </c>
      <c r="C52" s="11" t="s">
        <v>1187</v>
      </c>
      <c r="D52" s="11" t="n">
        <v>1</v>
      </c>
      <c r="E52" s="11" t="n">
        <v>0</v>
      </c>
      <c r="F52" s="11" t="s">
        <v>1188</v>
      </c>
      <c r="G52" s="11"/>
    </row>
    <row r="53" customFormat="false" ht="22.35" hidden="false" customHeight="false" outlineLevel="0" collapsed="false">
      <c r="A53" s="11" t="s">
        <v>1243</v>
      </c>
      <c r="B53" s="11" t="s">
        <v>89</v>
      </c>
      <c r="C53" s="11" t="s">
        <v>1193</v>
      </c>
      <c r="D53" s="11" t="n">
        <v>0</v>
      </c>
      <c r="E53" s="11" t="n">
        <v>0</v>
      </c>
      <c r="F53" s="11" t="s">
        <v>1194</v>
      </c>
      <c r="G53" s="11"/>
    </row>
    <row r="54" customFormat="false" ht="283.55" hidden="false" customHeight="false" outlineLevel="0" collapsed="false">
      <c r="A54" s="11" t="s">
        <v>1244</v>
      </c>
      <c r="B54" s="11" t="s">
        <v>106</v>
      </c>
      <c r="C54" s="11" t="s">
        <v>1187</v>
      </c>
      <c r="D54" s="11" t="n">
        <v>0</v>
      </c>
      <c r="E54" s="11" t="n">
        <v>0</v>
      </c>
      <c r="F54" s="11" t="s">
        <v>1190</v>
      </c>
      <c r="G54" s="11" t="s">
        <v>1245</v>
      </c>
    </row>
    <row r="55" customFormat="false" ht="376.85" hidden="false" customHeight="false" outlineLevel="0" collapsed="false">
      <c r="A55" s="11" t="s">
        <v>1246</v>
      </c>
      <c r="B55" s="11" t="s">
        <v>1242</v>
      </c>
      <c r="C55" s="11" t="s">
        <v>1187</v>
      </c>
      <c r="D55" s="11" t="n">
        <v>0</v>
      </c>
      <c r="E55" s="11" t="n">
        <v>0</v>
      </c>
      <c r="F55" s="11" t="s">
        <v>1190</v>
      </c>
      <c r="G55" s="11" t="s">
        <v>1247</v>
      </c>
    </row>
    <row r="56" customFormat="false" ht="273.1" hidden="false" customHeight="false" outlineLevel="0" collapsed="false">
      <c r="A56" s="11" t="s">
        <v>932</v>
      </c>
      <c r="B56" s="11" t="s">
        <v>89</v>
      </c>
      <c r="C56" s="11" t="s">
        <v>1187</v>
      </c>
      <c r="D56" s="11" t="n">
        <v>0</v>
      </c>
      <c r="E56" s="11" t="n">
        <v>1</v>
      </c>
      <c r="F56" s="11" t="s">
        <v>1190</v>
      </c>
      <c r="G56" s="11" t="s">
        <v>1248</v>
      </c>
    </row>
    <row r="57" customFormat="false" ht="15" hidden="false" customHeight="false" outlineLevel="0" collapsed="false">
      <c r="A57" s="11" t="s">
        <v>711</v>
      </c>
      <c r="B57" s="11" t="s">
        <v>715</v>
      </c>
      <c r="C57" s="11" t="s">
        <v>1187</v>
      </c>
      <c r="D57" s="11" t="n">
        <v>1</v>
      </c>
      <c r="E57" s="11" t="n">
        <v>0</v>
      </c>
      <c r="F57" s="11" t="s">
        <v>1188</v>
      </c>
      <c r="G57" s="11"/>
    </row>
    <row r="58" customFormat="false" ht="15" hidden="false" customHeight="false" outlineLevel="0" collapsed="false">
      <c r="A58" s="11" t="s">
        <v>567</v>
      </c>
      <c r="B58" s="11" t="s">
        <v>572</v>
      </c>
      <c r="C58" s="11" t="s">
        <v>1187</v>
      </c>
      <c r="D58" s="11" t="n">
        <v>1</v>
      </c>
      <c r="E58" s="11" t="n">
        <v>1</v>
      </c>
      <c r="F58" s="11" t="s">
        <v>1188</v>
      </c>
      <c r="G58" s="11"/>
    </row>
    <row r="59" customFormat="false" ht="22.35" hidden="false" customHeight="false" outlineLevel="0" collapsed="false">
      <c r="A59" s="11" t="s">
        <v>1249</v>
      </c>
      <c r="B59" s="11" t="s">
        <v>715</v>
      </c>
      <c r="C59" s="11" t="s">
        <v>1193</v>
      </c>
      <c r="D59" s="11" t="n">
        <v>0</v>
      </c>
      <c r="E59" s="11" t="n">
        <v>0</v>
      </c>
      <c r="F59" s="11" t="s">
        <v>1194</v>
      </c>
      <c r="G59" s="11"/>
    </row>
    <row r="60" customFormat="false" ht="376.85" hidden="false" customHeight="false" outlineLevel="0" collapsed="false">
      <c r="A60" s="11" t="s">
        <v>1250</v>
      </c>
      <c r="B60" s="11" t="s">
        <v>119</v>
      </c>
      <c r="C60" s="11" t="s">
        <v>1187</v>
      </c>
      <c r="D60" s="11" t="n">
        <v>0</v>
      </c>
      <c r="E60" s="11" t="n">
        <v>0</v>
      </c>
      <c r="F60" s="11" t="s">
        <v>1190</v>
      </c>
      <c r="G60" s="11" t="s">
        <v>1251</v>
      </c>
    </row>
    <row r="61" customFormat="false" ht="15" hidden="false" customHeight="false" outlineLevel="0" collapsed="false">
      <c r="A61" s="11" t="s">
        <v>137</v>
      </c>
      <c r="B61" s="11" t="s">
        <v>145</v>
      </c>
      <c r="C61" s="11" t="s">
        <v>1187</v>
      </c>
      <c r="D61" s="11" t="n">
        <v>2</v>
      </c>
      <c r="E61" s="11" t="n">
        <v>0</v>
      </c>
      <c r="F61" s="11" t="s">
        <v>1188</v>
      </c>
      <c r="G61" s="11"/>
    </row>
    <row r="62" customFormat="false" ht="408.2" hidden="false" customHeight="false" outlineLevel="0" collapsed="false">
      <c r="A62" s="11" t="s">
        <v>1134</v>
      </c>
      <c r="B62" s="11" t="s">
        <v>478</v>
      </c>
      <c r="C62" s="11" t="s">
        <v>1187</v>
      </c>
      <c r="D62" s="11" t="n">
        <v>0</v>
      </c>
      <c r="E62" s="11" t="n">
        <v>0</v>
      </c>
      <c r="F62" s="11" t="s">
        <v>1190</v>
      </c>
      <c r="G62" s="11" t="s">
        <v>1252</v>
      </c>
    </row>
    <row r="63" customFormat="false" ht="15" hidden="false" customHeight="false" outlineLevel="0" collapsed="false">
      <c r="A63" s="11" t="s">
        <v>580</v>
      </c>
      <c r="B63" s="11" t="s">
        <v>436</v>
      </c>
      <c r="C63" s="11" t="s">
        <v>1187</v>
      </c>
      <c r="D63" s="11" t="n">
        <v>1</v>
      </c>
      <c r="E63" s="11" t="n">
        <v>0</v>
      </c>
      <c r="F63" s="11" t="s">
        <v>1188</v>
      </c>
      <c r="G63" s="11"/>
    </row>
    <row r="64" customFormat="false" ht="335.05" hidden="false" customHeight="false" outlineLevel="0" collapsed="false">
      <c r="A64" s="11" t="s">
        <v>1253</v>
      </c>
      <c r="B64" s="11" t="s">
        <v>1254</v>
      </c>
      <c r="C64" s="11" t="s">
        <v>1187</v>
      </c>
      <c r="D64" s="11" t="n">
        <v>0</v>
      </c>
      <c r="E64" s="11" t="n">
        <v>0</v>
      </c>
      <c r="F64" s="11" t="s">
        <v>1190</v>
      </c>
      <c r="G64" s="11" t="s">
        <v>1255</v>
      </c>
    </row>
    <row r="65" customFormat="false" ht="15" hidden="false" customHeight="false" outlineLevel="0" collapsed="false">
      <c r="A65" s="11" t="s">
        <v>283</v>
      </c>
      <c r="B65" s="11" t="s">
        <v>229</v>
      </c>
      <c r="C65" s="11" t="s">
        <v>1187</v>
      </c>
      <c r="D65" s="11" t="n">
        <v>1</v>
      </c>
      <c r="E65" s="11" t="n">
        <v>0</v>
      </c>
      <c r="F65" s="11" t="s">
        <v>1188</v>
      </c>
      <c r="G65" s="11"/>
    </row>
    <row r="66" customFormat="false" ht="262.65" hidden="false" customHeight="false" outlineLevel="0" collapsed="false">
      <c r="A66" s="11" t="s">
        <v>1256</v>
      </c>
      <c r="B66" s="11" t="s">
        <v>355</v>
      </c>
      <c r="C66" s="11" t="s">
        <v>1187</v>
      </c>
      <c r="D66" s="11" t="n">
        <v>0</v>
      </c>
      <c r="E66" s="11" t="n">
        <v>0</v>
      </c>
      <c r="F66" s="11" t="s">
        <v>1190</v>
      </c>
      <c r="G66" s="11" t="s">
        <v>1257</v>
      </c>
    </row>
    <row r="67" customFormat="false" ht="376.85" hidden="false" customHeight="false" outlineLevel="0" collapsed="false">
      <c r="A67" s="11" t="s">
        <v>593</v>
      </c>
      <c r="B67" s="11" t="s">
        <v>335</v>
      </c>
      <c r="C67" s="11" t="s">
        <v>1187</v>
      </c>
      <c r="D67" s="11" t="n">
        <v>1</v>
      </c>
      <c r="E67" s="11" t="n">
        <v>0</v>
      </c>
      <c r="F67" s="11" t="s">
        <v>1190</v>
      </c>
      <c r="G67" s="11" t="s">
        <v>1258</v>
      </c>
    </row>
    <row r="68" customFormat="false" ht="22.35" hidden="false" customHeight="false" outlineLevel="0" collapsed="false">
      <c r="A68" s="11" t="s">
        <v>1259</v>
      </c>
      <c r="B68" s="11" t="s">
        <v>170</v>
      </c>
      <c r="C68" s="11" t="s">
        <v>1193</v>
      </c>
      <c r="D68" s="11" t="n">
        <v>0</v>
      </c>
      <c r="E68" s="11" t="n">
        <v>0</v>
      </c>
      <c r="F68" s="11" t="s">
        <v>1194</v>
      </c>
      <c r="G68" s="11"/>
    </row>
    <row r="69" customFormat="false" ht="22.35" hidden="false" customHeight="false" outlineLevel="0" collapsed="false">
      <c r="A69" s="11" t="s">
        <v>1260</v>
      </c>
      <c r="B69" s="11" t="s">
        <v>953</v>
      </c>
      <c r="C69" s="11" t="s">
        <v>1193</v>
      </c>
      <c r="D69" s="11" t="n">
        <v>0</v>
      </c>
      <c r="E69" s="11" t="n">
        <v>0</v>
      </c>
      <c r="F69" s="11" t="s">
        <v>1194</v>
      </c>
      <c r="G69" s="11"/>
    </row>
    <row r="70" customFormat="false" ht="314.9" hidden="false" customHeight="false" outlineLevel="0" collapsed="false">
      <c r="A70" s="11" t="s">
        <v>1261</v>
      </c>
      <c r="B70" s="11" t="s">
        <v>89</v>
      </c>
      <c r="C70" s="11" t="s">
        <v>1187</v>
      </c>
      <c r="D70" s="11" t="n">
        <v>0</v>
      </c>
      <c r="E70" s="11" t="n">
        <v>0</v>
      </c>
      <c r="F70" s="11" t="s">
        <v>1190</v>
      </c>
      <c r="G70" s="11" t="s">
        <v>1262</v>
      </c>
    </row>
    <row r="71" customFormat="false" ht="345.5" hidden="false" customHeight="false" outlineLevel="0" collapsed="false">
      <c r="A71" s="11" t="s">
        <v>947</v>
      </c>
      <c r="B71" s="11" t="s">
        <v>953</v>
      </c>
      <c r="C71" s="11" t="s">
        <v>1187</v>
      </c>
      <c r="D71" s="11" t="n">
        <v>0</v>
      </c>
      <c r="E71" s="11" t="n">
        <v>2</v>
      </c>
      <c r="F71" s="11" t="s">
        <v>1190</v>
      </c>
      <c r="G71" s="11" t="s">
        <v>1263</v>
      </c>
    </row>
    <row r="72" customFormat="false" ht="283.55" hidden="false" customHeight="false" outlineLevel="0" collapsed="false">
      <c r="A72" s="11" t="s">
        <v>1264</v>
      </c>
      <c r="B72" s="11" t="s">
        <v>212</v>
      </c>
      <c r="C72" s="11" t="s">
        <v>1187</v>
      </c>
      <c r="D72" s="11" t="n">
        <v>0</v>
      </c>
      <c r="E72" s="11" t="n">
        <v>0</v>
      </c>
      <c r="F72" s="11" t="s">
        <v>1190</v>
      </c>
      <c r="G72" s="11" t="s">
        <v>1265</v>
      </c>
    </row>
    <row r="73" customFormat="false" ht="314.9" hidden="false" customHeight="false" outlineLevel="0" collapsed="false">
      <c r="A73" s="11" t="s">
        <v>607</v>
      </c>
      <c r="B73" s="11" t="s">
        <v>106</v>
      </c>
      <c r="C73" s="11" t="s">
        <v>1187</v>
      </c>
      <c r="D73" s="11" t="n">
        <v>1</v>
      </c>
      <c r="E73" s="11" t="n">
        <v>0</v>
      </c>
      <c r="F73" s="11" t="s">
        <v>1190</v>
      </c>
      <c r="G73" s="11" t="s">
        <v>1266</v>
      </c>
    </row>
    <row r="74" customFormat="false" ht="15" hidden="false" customHeight="false" outlineLevel="0" collapsed="false">
      <c r="A74" s="11" t="s">
        <v>656</v>
      </c>
      <c r="B74" s="11" t="s">
        <v>436</v>
      </c>
      <c r="C74" s="11" t="s">
        <v>1187</v>
      </c>
      <c r="D74" s="11" t="n">
        <v>1</v>
      </c>
      <c r="E74" s="11" t="n">
        <v>0</v>
      </c>
      <c r="F74" s="11" t="s">
        <v>1188</v>
      </c>
      <c r="G74" s="11"/>
    </row>
    <row r="75" customFormat="false" ht="22.35" hidden="false" customHeight="false" outlineLevel="0" collapsed="false">
      <c r="A75" s="11" t="s">
        <v>1267</v>
      </c>
      <c r="B75" s="11" t="s">
        <v>355</v>
      </c>
      <c r="C75" s="11" t="s">
        <v>1193</v>
      </c>
      <c r="D75" s="11" t="n">
        <v>0</v>
      </c>
      <c r="E75" s="11" t="n">
        <v>0</v>
      </c>
      <c r="F75" s="11" t="s">
        <v>1194</v>
      </c>
      <c r="G75" s="11"/>
    </row>
    <row r="76" customFormat="false" ht="397.75" hidden="false" customHeight="false" outlineLevel="0" collapsed="false">
      <c r="A76" s="11" t="s">
        <v>1268</v>
      </c>
      <c r="B76" s="11" t="s">
        <v>436</v>
      </c>
      <c r="C76" s="11" t="s">
        <v>1187</v>
      </c>
      <c r="D76" s="11" t="n">
        <v>0</v>
      </c>
      <c r="E76" s="11" t="n">
        <v>0</v>
      </c>
      <c r="F76" s="11" t="s">
        <v>1190</v>
      </c>
      <c r="G76" s="11" t="s">
        <v>1269</v>
      </c>
    </row>
    <row r="77" customFormat="false" ht="335.05" hidden="false" customHeight="false" outlineLevel="0" collapsed="false">
      <c r="A77" s="11" t="s">
        <v>431</v>
      </c>
      <c r="B77" s="11" t="s">
        <v>436</v>
      </c>
      <c r="C77" s="11" t="s">
        <v>1187</v>
      </c>
      <c r="D77" s="11" t="n">
        <v>1</v>
      </c>
      <c r="E77" s="11" t="n">
        <v>1</v>
      </c>
      <c r="F77" s="11" t="s">
        <v>1190</v>
      </c>
      <c r="G77" s="11" t="s">
        <v>1270</v>
      </c>
    </row>
    <row r="78" customFormat="false" ht="22.35" hidden="false" customHeight="false" outlineLevel="0" collapsed="false">
      <c r="A78" s="11" t="s">
        <v>1271</v>
      </c>
      <c r="B78" s="11" t="s">
        <v>106</v>
      </c>
      <c r="C78" s="11" t="s">
        <v>1193</v>
      </c>
      <c r="D78" s="11" t="n">
        <v>0</v>
      </c>
      <c r="E78" s="11" t="n">
        <v>0</v>
      </c>
      <c r="F78" s="11" t="s">
        <v>1194</v>
      </c>
      <c r="G78" s="11"/>
    </row>
    <row r="79" customFormat="false" ht="22.35" hidden="false" customHeight="false" outlineLevel="0" collapsed="false">
      <c r="A79" s="11" t="s">
        <v>1272</v>
      </c>
      <c r="B79" s="11" t="s">
        <v>106</v>
      </c>
      <c r="C79" s="11" t="s">
        <v>1193</v>
      </c>
      <c r="D79" s="11" t="n">
        <v>0</v>
      </c>
      <c r="E79" s="11" t="n">
        <v>0</v>
      </c>
      <c r="F79" s="11" t="s">
        <v>1194</v>
      </c>
      <c r="G79" s="11"/>
    </row>
    <row r="80" customFormat="false" ht="262.65" hidden="false" customHeight="false" outlineLevel="0" collapsed="false">
      <c r="A80" s="11" t="s">
        <v>969</v>
      </c>
      <c r="B80" s="11" t="s">
        <v>320</v>
      </c>
      <c r="C80" s="11" t="s">
        <v>1187</v>
      </c>
      <c r="D80" s="11" t="n">
        <v>0</v>
      </c>
      <c r="E80" s="11" t="n">
        <v>1</v>
      </c>
      <c r="F80" s="11" t="s">
        <v>1190</v>
      </c>
      <c r="G80" s="11" t="s">
        <v>1273</v>
      </c>
    </row>
    <row r="81" customFormat="false" ht="408.2" hidden="false" customHeight="false" outlineLevel="0" collapsed="false">
      <c r="A81" s="11" t="s">
        <v>1274</v>
      </c>
      <c r="B81" s="11" t="s">
        <v>212</v>
      </c>
      <c r="C81" s="11" t="s">
        <v>1187</v>
      </c>
      <c r="D81" s="11" t="n">
        <v>0</v>
      </c>
      <c r="E81" s="11" t="n">
        <v>0</v>
      </c>
      <c r="F81" s="11" t="s">
        <v>1190</v>
      </c>
      <c r="G81" s="11" t="s">
        <v>1275</v>
      </c>
    </row>
    <row r="82" customFormat="false" ht="314.9" hidden="false" customHeight="false" outlineLevel="0" collapsed="false">
      <c r="A82" s="11" t="s">
        <v>1276</v>
      </c>
      <c r="B82" s="11" t="s">
        <v>89</v>
      </c>
      <c r="C82" s="11" t="s">
        <v>1187</v>
      </c>
      <c r="D82" s="11" t="n">
        <v>0</v>
      </c>
      <c r="E82" s="11" t="n">
        <v>0</v>
      </c>
      <c r="F82" s="11" t="s">
        <v>1190</v>
      </c>
      <c r="G82" s="11" t="s">
        <v>1277</v>
      </c>
    </row>
    <row r="83" customFormat="false" ht="15" hidden="false" customHeight="false" outlineLevel="0" collapsed="false">
      <c r="A83" s="11" t="s">
        <v>151</v>
      </c>
      <c r="B83" s="11" t="s">
        <v>89</v>
      </c>
      <c r="C83" s="11" t="s">
        <v>1187</v>
      </c>
      <c r="D83" s="11" t="n">
        <v>4</v>
      </c>
      <c r="E83" s="11" t="n">
        <v>0</v>
      </c>
      <c r="F83" s="11" t="s">
        <v>1188</v>
      </c>
      <c r="G83" s="11"/>
    </row>
    <row r="84" customFormat="false" ht="262.65" hidden="false" customHeight="false" outlineLevel="0" collapsed="false">
      <c r="A84" s="11" t="s">
        <v>976</v>
      </c>
      <c r="B84" s="11" t="s">
        <v>436</v>
      </c>
      <c r="C84" s="11" t="s">
        <v>1187</v>
      </c>
      <c r="D84" s="11" t="n">
        <v>0</v>
      </c>
      <c r="E84" s="11" t="n">
        <v>1</v>
      </c>
      <c r="F84" s="11" t="s">
        <v>1190</v>
      </c>
      <c r="G84" s="11" t="s">
        <v>1278</v>
      </c>
    </row>
    <row r="85" customFormat="false" ht="283.55" hidden="false" customHeight="false" outlineLevel="0" collapsed="false">
      <c r="A85" s="11" t="s">
        <v>984</v>
      </c>
      <c r="B85" s="11" t="s">
        <v>988</v>
      </c>
      <c r="C85" s="11" t="s">
        <v>1187</v>
      </c>
      <c r="D85" s="11" t="n">
        <v>0</v>
      </c>
      <c r="E85" s="11" t="n">
        <v>1</v>
      </c>
      <c r="F85" s="11" t="s">
        <v>1190</v>
      </c>
      <c r="G85" s="11" t="s">
        <v>1279</v>
      </c>
    </row>
    <row r="86" customFormat="false" ht="294" hidden="false" customHeight="false" outlineLevel="0" collapsed="false">
      <c r="A86" s="11" t="s">
        <v>1280</v>
      </c>
      <c r="B86" s="11" t="s">
        <v>802</v>
      </c>
      <c r="C86" s="11" t="s">
        <v>1187</v>
      </c>
      <c r="D86" s="11" t="n">
        <v>0</v>
      </c>
      <c r="E86" s="11" t="n">
        <v>0</v>
      </c>
      <c r="F86" s="11" t="s">
        <v>1190</v>
      </c>
      <c r="G86" s="11" t="s">
        <v>1281</v>
      </c>
    </row>
    <row r="87" customFormat="false" ht="387.3" hidden="false" customHeight="false" outlineLevel="0" collapsed="false">
      <c r="A87" s="11" t="s">
        <v>1282</v>
      </c>
      <c r="B87" s="11" t="s">
        <v>1283</v>
      </c>
      <c r="C87" s="11" t="s">
        <v>1187</v>
      </c>
      <c r="D87" s="11" t="n">
        <v>0</v>
      </c>
      <c r="E87" s="11" t="n">
        <v>0</v>
      </c>
      <c r="F87" s="11" t="s">
        <v>1190</v>
      </c>
      <c r="G87" s="11" t="s">
        <v>1284</v>
      </c>
    </row>
    <row r="88" customFormat="false" ht="408.2" hidden="false" customHeight="false" outlineLevel="0" collapsed="false">
      <c r="A88" s="11" t="s">
        <v>1285</v>
      </c>
      <c r="B88" s="11" t="s">
        <v>1242</v>
      </c>
      <c r="C88" s="11" t="s">
        <v>1187</v>
      </c>
      <c r="D88" s="11" t="n">
        <v>0</v>
      </c>
      <c r="E88" s="11" t="n">
        <v>0</v>
      </c>
      <c r="F88" s="11" t="s">
        <v>1190</v>
      </c>
      <c r="G88" s="11" t="s">
        <v>1286</v>
      </c>
    </row>
    <row r="89" customFormat="false" ht="397.75" hidden="false" customHeight="false" outlineLevel="0" collapsed="false">
      <c r="A89" s="11" t="s">
        <v>1287</v>
      </c>
      <c r="B89" s="11" t="s">
        <v>436</v>
      </c>
      <c r="C89" s="11" t="s">
        <v>1187</v>
      </c>
      <c r="D89" s="11" t="n">
        <v>0</v>
      </c>
      <c r="E89" s="11" t="n">
        <v>0</v>
      </c>
      <c r="F89" s="11" t="s">
        <v>1190</v>
      </c>
      <c r="G89" s="11" t="s">
        <v>1288</v>
      </c>
    </row>
    <row r="90" customFormat="false" ht="273.1" hidden="false" customHeight="false" outlineLevel="0" collapsed="false">
      <c r="A90" s="11" t="s">
        <v>992</v>
      </c>
      <c r="B90" s="11" t="s">
        <v>212</v>
      </c>
      <c r="C90" s="11" t="s">
        <v>1187</v>
      </c>
      <c r="D90" s="11" t="n">
        <v>0</v>
      </c>
      <c r="E90" s="11" t="n">
        <v>2</v>
      </c>
      <c r="F90" s="11" t="s">
        <v>1190</v>
      </c>
      <c r="G90" s="11" t="s">
        <v>1289</v>
      </c>
    </row>
    <row r="91" customFormat="false" ht="22.35" hidden="false" customHeight="false" outlineLevel="0" collapsed="false">
      <c r="A91" s="11" t="s">
        <v>1290</v>
      </c>
      <c r="B91" s="11" t="s">
        <v>106</v>
      </c>
      <c r="C91" s="11" t="s">
        <v>1193</v>
      </c>
      <c r="D91" s="11" t="n">
        <v>0</v>
      </c>
      <c r="E91" s="11" t="n">
        <v>0</v>
      </c>
      <c r="F91" s="11" t="s">
        <v>1194</v>
      </c>
      <c r="G91" s="11"/>
    </row>
    <row r="92" customFormat="false" ht="418.65" hidden="false" customHeight="false" outlineLevel="0" collapsed="false">
      <c r="A92" s="11" t="s">
        <v>1291</v>
      </c>
      <c r="B92" s="11" t="s">
        <v>478</v>
      </c>
      <c r="C92" s="11" t="s">
        <v>1187</v>
      </c>
      <c r="D92" s="11" t="n">
        <v>0</v>
      </c>
      <c r="E92" s="11" t="n">
        <v>0</v>
      </c>
      <c r="F92" s="11" t="s">
        <v>1190</v>
      </c>
      <c r="G92" s="11" t="s">
        <v>1292</v>
      </c>
    </row>
    <row r="93" customFormat="false" ht="15" hidden="false" customHeight="false" outlineLevel="0" collapsed="false">
      <c r="A93" s="11" t="s">
        <v>474</v>
      </c>
      <c r="B93" s="11" t="s">
        <v>478</v>
      </c>
      <c r="C93" s="11" t="s">
        <v>1187</v>
      </c>
      <c r="D93" s="11" t="n">
        <v>1</v>
      </c>
      <c r="E93" s="11" t="n">
        <v>0</v>
      </c>
      <c r="F93" s="11" t="s">
        <v>1188</v>
      </c>
      <c r="G93" s="11"/>
    </row>
    <row r="94" customFormat="false" ht="15" hidden="false" customHeight="false" outlineLevel="0" collapsed="false">
      <c r="A94" s="11" t="s">
        <v>752</v>
      </c>
      <c r="B94" s="11" t="s">
        <v>212</v>
      </c>
      <c r="C94" s="11" t="s">
        <v>1187</v>
      </c>
      <c r="D94" s="11" t="n">
        <v>1</v>
      </c>
      <c r="E94" s="11" t="n">
        <v>0</v>
      </c>
      <c r="F94" s="11" t="s">
        <v>1188</v>
      </c>
      <c r="G94" s="11"/>
    </row>
    <row r="95" customFormat="false" ht="345.5" hidden="false" customHeight="false" outlineLevel="0" collapsed="false">
      <c r="A95" s="11" t="s">
        <v>1293</v>
      </c>
      <c r="B95" s="11" t="s">
        <v>212</v>
      </c>
      <c r="C95" s="11" t="s">
        <v>1187</v>
      </c>
      <c r="D95" s="11" t="n">
        <v>0</v>
      </c>
      <c r="E95" s="11" t="n">
        <v>0</v>
      </c>
      <c r="F95" s="11" t="s">
        <v>1190</v>
      </c>
      <c r="G95" s="11" t="s">
        <v>1294</v>
      </c>
    </row>
    <row r="96" customFormat="false" ht="15" hidden="false" customHeight="false" outlineLevel="0" collapsed="false">
      <c r="A96" s="11" t="s">
        <v>1005</v>
      </c>
      <c r="B96" s="11" t="s">
        <v>212</v>
      </c>
      <c r="C96" s="11" t="s">
        <v>1187</v>
      </c>
      <c r="D96" s="11" t="n">
        <v>0</v>
      </c>
      <c r="E96" s="11" t="n">
        <v>1</v>
      </c>
      <c r="F96" s="11" t="s">
        <v>1188</v>
      </c>
      <c r="G96" s="11"/>
    </row>
    <row r="97" customFormat="false" ht="15" hidden="false" customHeight="false" outlineLevel="0" collapsed="false">
      <c r="A97" s="11" t="s">
        <v>300</v>
      </c>
      <c r="B97" s="11" t="s">
        <v>212</v>
      </c>
      <c r="C97" s="11" t="s">
        <v>1187</v>
      </c>
      <c r="D97" s="11" t="n">
        <v>1</v>
      </c>
      <c r="E97" s="11" t="n">
        <v>0</v>
      </c>
      <c r="F97" s="11" t="s">
        <v>1188</v>
      </c>
      <c r="G97" s="11"/>
    </row>
    <row r="98" customFormat="false" ht="15" hidden="false" customHeight="false" outlineLevel="0" collapsed="false">
      <c r="A98" s="11" t="s">
        <v>619</v>
      </c>
      <c r="B98" s="11" t="s">
        <v>212</v>
      </c>
      <c r="C98" s="11" t="s">
        <v>1187</v>
      </c>
      <c r="D98" s="11" t="n">
        <v>1</v>
      </c>
      <c r="E98" s="11" t="n">
        <v>0</v>
      </c>
      <c r="F98" s="11" t="s">
        <v>1188</v>
      </c>
      <c r="G98" s="11"/>
    </row>
    <row r="99" customFormat="false" ht="22.35" hidden="false" customHeight="false" outlineLevel="0" collapsed="false">
      <c r="A99" s="11" t="s">
        <v>1295</v>
      </c>
      <c r="B99" s="11" t="s">
        <v>212</v>
      </c>
      <c r="C99" s="11" t="s">
        <v>1193</v>
      </c>
      <c r="D99" s="11" t="n">
        <v>0</v>
      </c>
      <c r="E99" s="11" t="n">
        <v>0</v>
      </c>
      <c r="F99" s="11" t="s">
        <v>1194</v>
      </c>
      <c r="G99" s="11"/>
    </row>
    <row r="100" customFormat="false" ht="15" hidden="false" customHeight="false" outlineLevel="0" collapsed="false">
      <c r="A100" s="11" t="s">
        <v>1014</v>
      </c>
      <c r="B100" s="11" t="s">
        <v>212</v>
      </c>
      <c r="C100" s="11" t="s">
        <v>1187</v>
      </c>
      <c r="D100" s="11" t="n">
        <v>0</v>
      </c>
      <c r="E100" s="11" t="n">
        <v>1</v>
      </c>
      <c r="F100" s="11" t="s">
        <v>1188</v>
      </c>
      <c r="G100" s="11"/>
    </row>
    <row r="101" customFormat="false" ht="22.35" hidden="false" customHeight="false" outlineLevel="0" collapsed="false">
      <c r="A101" s="11" t="s">
        <v>1296</v>
      </c>
      <c r="B101" s="11" t="s">
        <v>106</v>
      </c>
      <c r="C101" s="11" t="s">
        <v>1193</v>
      </c>
      <c r="D101" s="11" t="n">
        <v>0</v>
      </c>
      <c r="E101" s="11" t="n">
        <v>0</v>
      </c>
      <c r="F101" s="11" t="s">
        <v>1194</v>
      </c>
      <c r="G101" s="11"/>
    </row>
    <row r="102" customFormat="false" ht="314.9" hidden="false" customHeight="false" outlineLevel="0" collapsed="false">
      <c r="A102" s="11" t="s">
        <v>1297</v>
      </c>
      <c r="B102" s="11" t="s">
        <v>320</v>
      </c>
      <c r="C102" s="11" t="s">
        <v>1187</v>
      </c>
      <c r="D102" s="11" t="n">
        <v>0</v>
      </c>
      <c r="E102" s="11" t="n">
        <v>0</v>
      </c>
      <c r="F102" s="11" t="s">
        <v>1190</v>
      </c>
      <c r="G102" s="11" t="s">
        <v>1298</v>
      </c>
    </row>
    <row r="103" customFormat="false" ht="22.35" hidden="false" customHeight="false" outlineLevel="0" collapsed="false">
      <c r="A103" s="11" t="s">
        <v>1299</v>
      </c>
      <c r="B103" s="11" t="s">
        <v>1213</v>
      </c>
      <c r="C103" s="11" t="s">
        <v>1193</v>
      </c>
      <c r="D103" s="11" t="n">
        <v>0</v>
      </c>
      <c r="E103" s="11" t="n">
        <v>0</v>
      </c>
      <c r="F103" s="11" t="s">
        <v>1194</v>
      </c>
      <c r="G103" s="11"/>
    </row>
    <row r="104" customFormat="false" ht="252.2" hidden="false" customHeight="false" outlineLevel="0" collapsed="false">
      <c r="A104" s="11" t="s">
        <v>816</v>
      </c>
      <c r="B104" s="11" t="s">
        <v>145</v>
      </c>
      <c r="C104" s="11" t="s">
        <v>1187</v>
      </c>
      <c r="D104" s="11" t="n">
        <v>0</v>
      </c>
      <c r="E104" s="11" t="n">
        <v>1</v>
      </c>
      <c r="F104" s="11" t="s">
        <v>1190</v>
      </c>
      <c r="G104" s="11" t="s">
        <v>1300</v>
      </c>
    </row>
    <row r="105" customFormat="false" ht="283.55" hidden="false" customHeight="false" outlineLevel="0" collapsed="false">
      <c r="A105" s="11" t="s">
        <v>1301</v>
      </c>
      <c r="B105" s="11" t="s">
        <v>1302</v>
      </c>
      <c r="C105" s="11" t="s">
        <v>1187</v>
      </c>
      <c r="D105" s="11" t="n">
        <v>0</v>
      </c>
      <c r="E105" s="11" t="n">
        <v>0</v>
      </c>
      <c r="F105" s="11" t="s">
        <v>1190</v>
      </c>
      <c r="G105" s="11" t="s">
        <v>1303</v>
      </c>
    </row>
    <row r="106" customFormat="false" ht="314.9" hidden="false" customHeight="false" outlineLevel="0" collapsed="false">
      <c r="A106" s="11" t="s">
        <v>723</v>
      </c>
      <c r="B106" s="11" t="s">
        <v>728</v>
      </c>
      <c r="C106" s="11" t="s">
        <v>1187</v>
      </c>
      <c r="D106" s="11" t="n">
        <v>1</v>
      </c>
      <c r="E106" s="11" t="n">
        <v>0</v>
      </c>
      <c r="F106" s="11" t="s">
        <v>1190</v>
      </c>
      <c r="G106" s="11" t="s">
        <v>1304</v>
      </c>
    </row>
    <row r="107" customFormat="false" ht="15" hidden="false" customHeight="false" outlineLevel="0" collapsed="false">
      <c r="A107" s="11" t="s">
        <v>738</v>
      </c>
      <c r="B107" s="11" t="s">
        <v>407</v>
      </c>
      <c r="C107" s="11" t="s">
        <v>1187</v>
      </c>
      <c r="D107" s="11" t="n">
        <v>1</v>
      </c>
      <c r="E107" s="11" t="n">
        <v>0</v>
      </c>
      <c r="F107" s="11" t="s">
        <v>1188</v>
      </c>
      <c r="G107" s="11"/>
    </row>
    <row r="108" customFormat="false" ht="22.35" hidden="false" customHeight="false" outlineLevel="0" collapsed="false">
      <c r="A108" s="11" t="s">
        <v>1305</v>
      </c>
      <c r="B108" s="11" t="s">
        <v>407</v>
      </c>
      <c r="C108" s="11" t="s">
        <v>1193</v>
      </c>
      <c r="D108" s="11" t="n">
        <v>0</v>
      </c>
      <c r="E108" s="11" t="n">
        <v>0</v>
      </c>
      <c r="F108" s="11" t="s">
        <v>1194</v>
      </c>
      <c r="G108" s="11"/>
    </row>
    <row r="109" customFormat="false" ht="314.9" hidden="false" customHeight="false" outlineLevel="0" collapsed="false">
      <c r="A109" s="11" t="s">
        <v>1306</v>
      </c>
      <c r="B109" s="11" t="s">
        <v>1307</v>
      </c>
      <c r="C109" s="11" t="s">
        <v>1187</v>
      </c>
      <c r="D109" s="11" t="n">
        <v>0</v>
      </c>
      <c r="E109" s="11" t="n">
        <v>0</v>
      </c>
      <c r="F109" s="11" t="s">
        <v>1190</v>
      </c>
      <c r="G109" s="11" t="s">
        <v>1308</v>
      </c>
    </row>
    <row r="110" customFormat="false" ht="439.55" hidden="false" customHeight="false" outlineLevel="0" collapsed="false">
      <c r="A110" s="11" t="s">
        <v>1309</v>
      </c>
      <c r="B110" s="11" t="s">
        <v>1213</v>
      </c>
      <c r="C110" s="11" t="s">
        <v>1187</v>
      </c>
      <c r="D110" s="11" t="n">
        <v>0</v>
      </c>
      <c r="E110" s="11" t="n">
        <v>0</v>
      </c>
      <c r="F110" s="11" t="s">
        <v>1190</v>
      </c>
      <c r="G110" s="11" t="s">
        <v>1310</v>
      </c>
    </row>
    <row r="111" customFormat="false" ht="15" hidden="false" customHeight="false" outlineLevel="0" collapsed="false">
      <c r="A111" s="11" t="s">
        <v>630</v>
      </c>
      <c r="B111" s="11" t="s">
        <v>636</v>
      </c>
      <c r="C111" s="11" t="s">
        <v>1187</v>
      </c>
      <c r="D111" s="11" t="n">
        <v>1</v>
      </c>
      <c r="E111" s="11" t="n">
        <v>0</v>
      </c>
      <c r="F111" s="11" t="s">
        <v>1188</v>
      </c>
      <c r="G111" s="11"/>
    </row>
    <row r="112" customFormat="false" ht="15" hidden="false" customHeight="false" outlineLevel="0" collapsed="false">
      <c r="A112" s="11" t="s">
        <v>806</v>
      </c>
      <c r="B112" s="11" t="s">
        <v>810</v>
      </c>
      <c r="C112" s="11" t="s">
        <v>1187</v>
      </c>
      <c r="D112" s="11" t="n">
        <v>0</v>
      </c>
      <c r="E112" s="11" t="n">
        <v>1</v>
      </c>
      <c r="F112" s="11" t="s">
        <v>1188</v>
      </c>
      <c r="G112" s="11"/>
    </row>
    <row r="113" customFormat="false" ht="439.55" hidden="false" customHeight="false" outlineLevel="0" collapsed="false">
      <c r="A113" s="11" t="s">
        <v>1311</v>
      </c>
      <c r="B113" s="11" t="s">
        <v>1312</v>
      </c>
      <c r="C113" s="11" t="s">
        <v>1187</v>
      </c>
      <c r="D113" s="11" t="n">
        <v>0</v>
      </c>
      <c r="E113" s="11" t="n">
        <v>0</v>
      </c>
      <c r="F113" s="11" t="s">
        <v>1190</v>
      </c>
      <c r="G113" s="11" t="s">
        <v>1313</v>
      </c>
    </row>
    <row r="114" customFormat="false" ht="283.55" hidden="false" customHeight="false" outlineLevel="0" collapsed="false">
      <c r="A114" s="11" t="s">
        <v>1314</v>
      </c>
      <c r="B114" s="11" t="s">
        <v>1242</v>
      </c>
      <c r="C114" s="11" t="s">
        <v>1187</v>
      </c>
      <c r="D114" s="11" t="n">
        <v>0</v>
      </c>
      <c r="E114" s="11" t="n">
        <v>0</v>
      </c>
      <c r="F114" s="11" t="s">
        <v>1190</v>
      </c>
      <c r="G114" s="11" t="s">
        <v>1315</v>
      </c>
    </row>
    <row r="115" customFormat="false" ht="15" hidden="false" customHeight="false" outlineLevel="0" collapsed="false">
      <c r="A115" s="11" t="s">
        <v>1170</v>
      </c>
      <c r="B115" s="11" t="s">
        <v>229</v>
      </c>
      <c r="C115" s="11" t="s">
        <v>1187</v>
      </c>
      <c r="D115" s="11" t="n">
        <v>0</v>
      </c>
      <c r="E115" s="11" t="n">
        <v>0</v>
      </c>
      <c r="F115" s="11" t="s">
        <v>1188</v>
      </c>
      <c r="G115" s="11"/>
    </row>
    <row r="116" customFormat="false" ht="15" hidden="false" customHeight="false" outlineLevel="0" collapsed="false">
      <c r="A116" s="11" t="s">
        <v>644</v>
      </c>
      <c r="B116" s="11" t="s">
        <v>229</v>
      </c>
      <c r="C116" s="11" t="s">
        <v>1187</v>
      </c>
      <c r="D116" s="11" t="n">
        <v>1</v>
      </c>
      <c r="E116" s="11" t="n">
        <v>0</v>
      </c>
      <c r="F116" s="11" t="s">
        <v>1188</v>
      </c>
      <c r="G116" s="11"/>
    </row>
    <row r="117" customFormat="false" ht="355.95" hidden="false" customHeight="false" outlineLevel="0" collapsed="false">
      <c r="A117" s="11" t="s">
        <v>1316</v>
      </c>
      <c r="B117" s="11" t="s">
        <v>465</v>
      </c>
      <c r="C117" s="11" t="s">
        <v>1187</v>
      </c>
      <c r="D117" s="11" t="n">
        <v>0</v>
      </c>
      <c r="E117" s="11" t="n">
        <v>0</v>
      </c>
      <c r="F117" s="11" t="s">
        <v>1190</v>
      </c>
      <c r="G117" s="11" t="s">
        <v>1317</v>
      </c>
    </row>
    <row r="118" customFormat="false" ht="314.9" hidden="false" customHeight="false" outlineLevel="0" collapsed="false">
      <c r="A118" s="11" t="s">
        <v>1318</v>
      </c>
      <c r="B118" s="11" t="s">
        <v>1307</v>
      </c>
      <c r="C118" s="11" t="s">
        <v>1187</v>
      </c>
      <c r="D118" s="11" t="n">
        <v>0</v>
      </c>
      <c r="E118" s="11" t="n">
        <v>0</v>
      </c>
      <c r="F118" s="11" t="s">
        <v>1190</v>
      </c>
      <c r="G118" s="11" t="s">
        <v>1319</v>
      </c>
    </row>
    <row r="119" customFormat="false" ht="22.35" hidden="false" customHeight="false" outlineLevel="0" collapsed="false">
      <c r="A119" s="11" t="s">
        <v>1320</v>
      </c>
      <c r="B119" s="11" t="s">
        <v>170</v>
      </c>
      <c r="C119" s="11" t="s">
        <v>1193</v>
      </c>
      <c r="D119" s="11" t="n">
        <v>0</v>
      </c>
      <c r="E119" s="11" t="n">
        <v>0</v>
      </c>
      <c r="F119" s="11" t="s">
        <v>1194</v>
      </c>
      <c r="G119" s="11"/>
    </row>
    <row r="120" customFormat="false" ht="15" hidden="false" customHeight="false" outlineLevel="0" collapsed="false">
      <c r="A120" s="11" t="s">
        <v>1023</v>
      </c>
      <c r="B120" s="11" t="s">
        <v>1029</v>
      </c>
      <c r="C120" s="11" t="s">
        <v>1187</v>
      </c>
      <c r="D120" s="11" t="n">
        <v>0</v>
      </c>
      <c r="E120" s="11" t="n">
        <v>1</v>
      </c>
      <c r="F120" s="11" t="s">
        <v>1188</v>
      </c>
      <c r="G120" s="11"/>
    </row>
    <row r="121" customFormat="false" ht="366.4" hidden="false" customHeight="false" outlineLevel="0" collapsed="false">
      <c r="A121" s="11" t="s">
        <v>1321</v>
      </c>
      <c r="B121" s="11" t="s">
        <v>1029</v>
      </c>
      <c r="C121" s="11" t="s">
        <v>1187</v>
      </c>
      <c r="D121" s="11" t="n">
        <v>0</v>
      </c>
      <c r="E121" s="11" t="n">
        <v>0</v>
      </c>
      <c r="F121" s="11" t="s">
        <v>1190</v>
      </c>
      <c r="G121" s="11" t="s">
        <v>1322</v>
      </c>
    </row>
    <row r="122" customFormat="false" ht="408.2" hidden="false" customHeight="false" outlineLevel="0" collapsed="false">
      <c r="A122" s="11" t="s">
        <v>826</v>
      </c>
      <c r="B122" s="11" t="s">
        <v>89</v>
      </c>
      <c r="C122" s="11" t="s">
        <v>1187</v>
      </c>
      <c r="D122" s="11" t="n">
        <v>0</v>
      </c>
      <c r="E122" s="11" t="n">
        <v>4</v>
      </c>
      <c r="F122" s="11" t="s">
        <v>1190</v>
      </c>
      <c r="G122" s="11" t="s">
        <v>1323</v>
      </c>
    </row>
    <row r="123" customFormat="false" ht="304.45" hidden="false" customHeight="false" outlineLevel="0" collapsed="false">
      <c r="A123" s="11" t="s">
        <v>1324</v>
      </c>
      <c r="B123" s="11" t="s">
        <v>89</v>
      </c>
      <c r="C123" s="11" t="s">
        <v>1187</v>
      </c>
      <c r="D123" s="11" t="n">
        <v>0</v>
      </c>
      <c r="E123" s="11" t="n">
        <v>0</v>
      </c>
      <c r="F123" s="11" t="s">
        <v>1190</v>
      </c>
      <c r="G123" s="11" t="s">
        <v>1325</v>
      </c>
    </row>
    <row r="124" customFormat="false" ht="355.95" hidden="false" customHeight="false" outlineLevel="0" collapsed="false">
      <c r="A124" s="11" t="s">
        <v>1326</v>
      </c>
      <c r="B124" s="11" t="s">
        <v>1302</v>
      </c>
      <c r="C124" s="11" t="s">
        <v>1187</v>
      </c>
      <c r="D124" s="11" t="n">
        <v>0</v>
      </c>
      <c r="E124" s="11" t="n">
        <v>0</v>
      </c>
      <c r="F124" s="11" t="s">
        <v>1190</v>
      </c>
      <c r="G124" s="11" t="s">
        <v>1327</v>
      </c>
    </row>
    <row r="125" customFormat="false" ht="15" hidden="false" customHeight="false" outlineLevel="0" collapsed="false">
      <c r="A125" s="11" t="s">
        <v>796</v>
      </c>
      <c r="B125" s="11" t="s">
        <v>802</v>
      </c>
      <c r="C125" s="11" t="s">
        <v>1187</v>
      </c>
      <c r="D125" s="11" t="n">
        <v>0</v>
      </c>
      <c r="E125" s="11" t="n">
        <v>1</v>
      </c>
      <c r="F125" s="11" t="s">
        <v>1188</v>
      </c>
      <c r="G125" s="11"/>
    </row>
    <row r="126" customFormat="false" ht="22.35" hidden="false" customHeight="false" outlineLevel="0" collapsed="false">
      <c r="A126" s="11" t="s">
        <v>1328</v>
      </c>
      <c r="B126" s="11" t="s">
        <v>212</v>
      </c>
      <c r="C126" s="11" t="s">
        <v>1193</v>
      </c>
      <c r="D126" s="11" t="n">
        <v>0</v>
      </c>
      <c r="E126" s="11" t="n">
        <v>0</v>
      </c>
      <c r="F126" s="11" t="s">
        <v>1194</v>
      </c>
      <c r="G126" s="11"/>
    </row>
    <row r="127" customFormat="false" ht="304.45" hidden="false" customHeight="false" outlineLevel="0" collapsed="false">
      <c r="A127" s="11" t="s">
        <v>1329</v>
      </c>
      <c r="B127" s="11" t="s">
        <v>212</v>
      </c>
      <c r="C127" s="11" t="s">
        <v>1187</v>
      </c>
      <c r="D127" s="11" t="n">
        <v>0</v>
      </c>
      <c r="E127" s="11" t="n">
        <v>0</v>
      </c>
      <c r="F127" s="11" t="s">
        <v>1190</v>
      </c>
      <c r="G127" s="11" t="s">
        <v>1330</v>
      </c>
    </row>
    <row r="128" customFormat="false" ht="397.75" hidden="false" customHeight="false" outlineLevel="0" collapsed="false">
      <c r="A128" s="11" t="s">
        <v>1331</v>
      </c>
      <c r="B128" s="11" t="s">
        <v>212</v>
      </c>
      <c r="C128" s="11" t="s">
        <v>1187</v>
      </c>
      <c r="D128" s="11" t="n">
        <v>0</v>
      </c>
      <c r="E128" s="11" t="n">
        <v>0</v>
      </c>
      <c r="F128" s="11" t="s">
        <v>1190</v>
      </c>
      <c r="G128" s="11" t="s">
        <v>1332</v>
      </c>
    </row>
    <row r="129" customFormat="false" ht="15" hidden="false" customHeight="false" outlineLevel="0" collapsed="false">
      <c r="A129" s="11" t="s">
        <v>162</v>
      </c>
      <c r="B129" s="11" t="s">
        <v>170</v>
      </c>
      <c r="C129" s="11" t="s">
        <v>1187</v>
      </c>
      <c r="D129" s="11" t="n">
        <v>1</v>
      </c>
      <c r="E129" s="11" t="n">
        <v>0</v>
      </c>
      <c r="F129" s="11" t="s">
        <v>1188</v>
      </c>
      <c r="G129" s="11"/>
    </row>
    <row r="130" customFormat="false" ht="429.1" hidden="false" customHeight="false" outlineLevel="0" collapsed="false">
      <c r="A130" s="11" t="s">
        <v>1040</v>
      </c>
      <c r="B130" s="11" t="s">
        <v>465</v>
      </c>
      <c r="C130" s="11" t="s">
        <v>1187</v>
      </c>
      <c r="D130" s="11" t="n">
        <v>0</v>
      </c>
      <c r="E130" s="11" t="n">
        <v>3</v>
      </c>
      <c r="F130" s="11" t="s">
        <v>1190</v>
      </c>
      <c r="G130" s="11" t="s">
        <v>1333</v>
      </c>
    </row>
    <row r="131" customFormat="false" ht="15" hidden="false" customHeight="false" outlineLevel="0" collapsed="false">
      <c r="A131" s="11" t="s">
        <v>314</v>
      </c>
      <c r="B131" s="11" t="s">
        <v>320</v>
      </c>
      <c r="C131" s="11" t="s">
        <v>1187</v>
      </c>
      <c r="D131" s="11" t="n">
        <v>3</v>
      </c>
      <c r="E131" s="11" t="n">
        <v>0</v>
      </c>
      <c r="F131" s="11" t="s">
        <v>1188</v>
      </c>
      <c r="G131" s="11"/>
    </row>
    <row r="132" customFormat="false" ht="397.75" hidden="false" customHeight="false" outlineLevel="0" collapsed="false">
      <c r="A132" s="11" t="s">
        <v>1334</v>
      </c>
      <c r="B132" s="11" t="s">
        <v>274</v>
      </c>
      <c r="C132" s="11" t="s">
        <v>1187</v>
      </c>
      <c r="D132" s="11" t="n">
        <v>0</v>
      </c>
      <c r="E132" s="11" t="n">
        <v>0</v>
      </c>
      <c r="F132" s="11" t="s">
        <v>1190</v>
      </c>
      <c r="G132" s="11" t="s">
        <v>1335</v>
      </c>
    </row>
    <row r="133" customFormat="false" ht="273.1" hidden="false" customHeight="false" outlineLevel="0" collapsed="false">
      <c r="A133" s="11" t="s">
        <v>775</v>
      </c>
      <c r="B133" s="11" t="s">
        <v>229</v>
      </c>
      <c r="C133" s="11" t="s">
        <v>1187</v>
      </c>
      <c r="D133" s="11" t="n">
        <v>0</v>
      </c>
      <c r="E133" s="11" t="n">
        <v>2</v>
      </c>
      <c r="F133" s="11" t="s">
        <v>1190</v>
      </c>
      <c r="G133" s="11" t="s">
        <v>1336</v>
      </c>
    </row>
    <row r="134" customFormat="false" ht="15" hidden="false" customHeight="false" outlineLevel="0" collapsed="false">
      <c r="A134" s="11" t="s">
        <v>1056</v>
      </c>
      <c r="B134" s="11" t="s">
        <v>320</v>
      </c>
      <c r="C134" s="11" t="s">
        <v>1187</v>
      </c>
      <c r="D134" s="11" t="n">
        <v>0</v>
      </c>
      <c r="E134" s="11" t="n">
        <v>1</v>
      </c>
      <c r="F134" s="11" t="s">
        <v>1188</v>
      </c>
      <c r="G134" s="11"/>
    </row>
    <row r="135" customFormat="false" ht="314.9" hidden="false" customHeight="false" outlineLevel="0" collapsed="false">
      <c r="A135" s="11" t="s">
        <v>329</v>
      </c>
      <c r="B135" s="11" t="s">
        <v>335</v>
      </c>
      <c r="C135" s="11" t="s">
        <v>1187</v>
      </c>
      <c r="D135" s="11" t="n">
        <v>1</v>
      </c>
      <c r="E135" s="11" t="n">
        <v>1</v>
      </c>
      <c r="F135" s="11" t="s">
        <v>1190</v>
      </c>
      <c r="G135" s="11" t="s">
        <v>1337</v>
      </c>
    </row>
    <row r="136" customFormat="false" ht="314.9" hidden="false" customHeight="false" outlineLevel="0" collapsed="false">
      <c r="A136" s="11" t="s">
        <v>1069</v>
      </c>
      <c r="B136" s="11" t="s">
        <v>1074</v>
      </c>
      <c r="C136" s="11" t="s">
        <v>1187</v>
      </c>
      <c r="D136" s="11" t="n">
        <v>0</v>
      </c>
      <c r="E136" s="11" t="n">
        <v>4</v>
      </c>
      <c r="F136" s="11" t="s">
        <v>1190</v>
      </c>
      <c r="G136" s="11" t="s">
        <v>1338</v>
      </c>
    </row>
    <row r="137" customFormat="false" ht="262.65" hidden="false" customHeight="false" outlineLevel="0" collapsed="false">
      <c r="A137" s="11" t="s">
        <v>787</v>
      </c>
      <c r="B137" s="11" t="s">
        <v>145</v>
      </c>
      <c r="C137" s="11" t="s">
        <v>1187</v>
      </c>
      <c r="D137" s="11" t="n">
        <v>0</v>
      </c>
      <c r="E137" s="11" t="n">
        <v>1</v>
      </c>
      <c r="F137" s="11" t="s">
        <v>1190</v>
      </c>
      <c r="G137" s="11" t="s">
        <v>1339</v>
      </c>
    </row>
    <row r="138" customFormat="false" ht="294" hidden="false" customHeight="false" outlineLevel="0" collapsed="false">
      <c r="A138" s="11" t="s">
        <v>1340</v>
      </c>
      <c r="B138" s="11" t="s">
        <v>106</v>
      </c>
      <c r="C138" s="11" t="s">
        <v>1187</v>
      </c>
      <c r="D138" s="11" t="n">
        <v>0</v>
      </c>
      <c r="E138" s="11" t="n">
        <v>0</v>
      </c>
      <c r="F138" s="11" t="s">
        <v>1190</v>
      </c>
      <c r="G138" s="11" t="s">
        <v>1341</v>
      </c>
    </row>
  </sheetData>
  <autoFilter ref="A1:G1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2026-10-15T04:51:38Z</dcterms:created>
  <dc:creator>openpyxl</dc:creator>
  <dc:description/>
  <dc:language>en-US</dc:language>
  <cp:lastModifiedBy/>
  <dcterms:modified xsi:type="dcterms:W3CDTF">2026-10-15T04:51:38Z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