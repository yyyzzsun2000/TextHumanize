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To Submit by Oct 18" sheetId="2" state="visible" r:id="rId4"/>
    <sheet name="All Fit 4-5 Combined" sheetId="3" state="visible" r:id="rId5"/>
    <sheet name="Not Eligible or Closed" sheetId="4" state="visible" r:id="rId6"/>
    <sheet name="Already Submitted" sheetId="5" state="visible" r:id="rId7"/>
  </sheets>
  <definedNames>
    <definedName function="false" hidden="true" localSheetId="2" name="_xlnm._FilterDatabase" vbProcedure="false">'All Fit 4-5 Combined'!$A$1:$AG$151</definedName>
    <definedName function="false" hidden="true" localSheetId="4" name="_xlnm._FilterDatabase" vbProcedure="false">'Already Submitted'!$A$1:$F$61</definedName>
    <definedName function="false" hidden="true" localSheetId="3" name="_xlnm._FilterDatabase" vbProcedure="false">'Not Eligible or Closed'!$A$1:$AG$10</definedName>
    <definedName function="false" hidden="true" localSheetId="1" name="_xlnm._FilterDatabase" vbProcedure="false">'To Submit by Oct 18'!$A$1:$AG$112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<sst xmlns="http://schemas.openxmlformats.org/spreadsheetml/2006/main" count="8668" uniqueCount="2078">
  <si>
    <t xml:space="preserve">Final Combined Faculty Application List - Fit 4-5 (updated 2026-10-15)</t>
  </si>
  <si>
    <t xml:space="preserve">Candidate: Yuanze Sun (PhD, Management Science - MIS, UW-Milwaukee). International student; no industry experience. Source data: my R1/R2 search (v2, fit rubric learned from your IS-jobs list) + your tracker University_Applications_Yuanze_Sun_Updated_1012.xlsx.</t>
  </si>
  <si>
    <t xml:space="preserve">Summary (live formulas on the "All Fit 4-5 Combined" sheet)</t>
  </si>
  <si>
    <t xml:space="preserve">Total fit 4-5 postings</t>
  </si>
  <si>
    <t xml:space="preserve">  Fit 5</t>
  </si>
  <si>
    <t xml:space="preserve">  Fit 4</t>
  </si>
  <si>
    <t xml:space="preserve">Already submitted (from your tracker)</t>
  </si>
  <si>
    <t xml:space="preserve">URGENT - due by Oct 18, not submitted</t>
  </si>
  <si>
    <t xml:space="preserve">APPLY NOW - rolling / review started</t>
  </si>
  <si>
    <t xml:space="preserve">Deadline passed - confirm portal</t>
  </si>
  <si>
    <t xml:space="preserve">Upcoming - due after Oct 18</t>
  </si>
  <si>
    <t xml:space="preserve">Not eligible (citizenship / clearance / industry exp.)</t>
  </si>
  <si>
    <t xml:space="preserve">Closed / filled</t>
  </si>
  <si>
    <t xml:space="preserve">Research tenure-track</t>
  </si>
  <si>
    <t xml:space="preserve">Teaching tenure-track</t>
  </si>
  <si>
    <t xml:space="preserve">Non-tenure (clinical / lecturer / visiting / adjunct)</t>
  </si>
  <si>
    <t xml:space="preserve">Sponsorship stated YES (incl. "may be considered")</t>
  </si>
  <si>
    <t xml:space="preserve">Sponsorship stated NO (OPT-only)</t>
  </si>
  <si>
    <t xml:space="preserve">Sponsorship not stated</t>
  </si>
  <si>
    <t xml:space="preserve">Sponsorship uncertain ("may not be available")</t>
  </si>
  <si>
    <t xml:space="preserve">Already submitted - sponsorship not re-checked</t>
  </si>
  <si>
    <t xml:space="preserve">Start-date TIMING ISSUE (starts before June 2027 PhD)</t>
  </si>
  <si>
    <t xml:space="preserve">How to read this workbook</t>
  </si>
  <si>
    <t xml:space="preserve">Sheet "To Submit by Oct 18"</t>
  </si>
  <si>
    <t xml:space="preserve">Every fit 4-5 posting you have NOT submitted that is open and that you can take (sponsorship or OPT). Sorted: URGENT (hard deadline Oct 14-18) &gt; APPLY NOW (rolling / review already started) &gt; DEADLINE PASSED (check portal) &gt; UPCOMING (deadline after Oct 18, still worth submitting now).</t>
  </si>
  <si>
    <t xml:space="preserve">Sheet "All Fit 4-5 Combined"</t>
  </si>
  <si>
    <t xml:space="preserve">All 150 fit 4-5 postings including the ones you already submitted, the closed ones, and the not-eligible ones.</t>
  </si>
  <si>
    <t xml:space="preserve">Sheet "Not Eligible or Closed"</t>
  </si>
  <si>
    <t xml:space="preserve">Postings that require US citizenship/PR, a security clearance, or industry experience as a REQUIREMENT, or that were found closed on Oct 14.</t>
  </si>
  <si>
    <t xml:space="preserve">Sheet "Already Submitted"</t>
  </si>
  <si>
    <t xml:space="preserve">All 60 entries of your tracker, matched to my R1/R2 list (0 are outside the R1/R2 list), with the other fit 4-5 lines at the same school.</t>
  </si>
  <si>
    <t xml:space="preserve">Position Type</t>
  </si>
  <si>
    <t xml:space="preserve">Research tenure-track | Teaching tenure-track | Teaching non-tenure-track (clinical / practice / instructional) | Lecturer / instructor (full-time, non-tenure) | Visiting (fixed-term) | Part-time / adjunct. "Tenure?" collapses this to Tenure-track vs Non-tenure.</t>
  </si>
  <si>
    <t xml:space="preserve">Eligible for You?</t>
  </si>
  <si>
    <t xml:space="preserve">NO = posting requires citizenship/PR, clearance, or industry experience. YES - sponsorship stated = posting/HR says it sponsors. YES via OPT only = posting says no sponsorship or "must be authorized to work in the US" - you can still start on OPT/STEM OPT (your EAD counts as authorization). LIKELY = posting is silent on sponsorship (most common for faculty jobs); ask HR. "(industry experience preferred)" = nice-to-have only.</t>
  </si>
  <si>
    <t xml:space="preserve">Start vs Your PhD (June 2027)</t>
  </si>
  <si>
    <t xml:space="preserve">Your CV shows the PhD expected June 2027. Post-completion OPT can only start after the program end date, so a job starting Fall 2027 or later is fine. Many part-time pools and a few lecturer / professor-of-practice lines start Spring 2027 or earlier: those would need CPT (or pre-completion OPT) authorized by your DSO, or a deferred Fall 2027 start.</t>
  </si>
  <si>
    <t xml:space="preserve">Key Date / Key Date Type</t>
  </si>
  <si>
    <t xml:space="preserve">Parsed from the posting: a hard deadline, a priority/review-begins date, or a job-board expiry date (which is NOT a real deadline). Blank = open until filled / not stated.</t>
  </si>
  <si>
    <t xml:space="preserve">Your Application Status</t>
  </si>
  <si>
    <t xml:space="preserve">SUBMITTED = the posting I matched to your tracker entry. "Not this posting - you applied to X on DATE" = you applied to that school, but this is a DIFFERENT line (e.g. a lecturer or clinical line) - confirm whether you also want to apply.</t>
  </si>
  <si>
    <t xml:space="preserve">OPT facts (confirm with your DSO)</t>
  </si>
  <si>
    <t xml:space="preserve">Post-completion OPT: 12 months. STEM OPT extension: +24 months if your degree CIP code is STEM-designated (Management Science 52.1301 is on the DHS STEM list - check your I-20) AND the employer uses E-Verify and signs Form I-983. OPT requires &gt;= 20 hrs/week of degree-related work; STEM OPT requires &gt;= 20 hrs/week with one employer - a single adjunct course usually does not qualify. Unemployment limit: 90 days (OPT) / 150 days total (with STEM OPT).</t>
  </si>
  <si>
    <t xml:space="preserve">H-1B facts</t>
  </si>
  <si>
    <t xml:space="preserve">Universities and their affiliated nonprofits are H-1B CAP-EXEMPT: they can file at any time of year with no lottery. "Not stated" sponsorship at a public university usually means it is decided case by case; tenure-track lines are usually sponsored, adjunct/visiting lines often are not. A posting that says "no sponsorship" can still be started on OPT.</t>
  </si>
  <si>
    <t xml:space="preserve">Checks done</t>
  </si>
  <si>
    <t xml:space="preserve">Each not-yet-submitted fit 4-5 posting was re-searched on 2026-10-14 (official posting, HigherEdJobs, Chronicle, Inside Higher Ed, AIS/INFORMS boards, university HR pages) for: still open, current deadline, visa sponsorship language, work-authorization language, industry-experience requirement, exact appointment type. WebFetch was blocked in this environment, so all checks rely on search-engine snippets of the postings; always confirm on the live posting before submitting. Postings you already submitted were not re-checked.</t>
  </si>
  <si>
    <t xml:space="preserve">Fit score</t>
  </si>
  <si>
    <t xml:space="preserve">Same rubric as v2: 5 = IS/MIS/ITM/CIS/BIT in a business school (any rank or track); 4 = business analytics / AI analytics and combined IS-operations departments, Accounting &amp; IS, iSchool lines explicitly in IS.</t>
  </si>
  <si>
    <t xml:space="preserve">Action / Priority</t>
  </si>
  <si>
    <t xml:space="preserve">Fit (4-5)</t>
  </si>
  <si>
    <t xml:space="preserve">Tenure?</t>
  </si>
  <si>
    <t xml:space="preserve">University</t>
  </si>
  <si>
    <t xml:space="preserve">Position Title</t>
  </si>
  <si>
    <t xml:space="preserve">Key Date</t>
  </si>
  <si>
    <t xml:space="preserve">Key Date Type</t>
  </si>
  <si>
    <t xml:space="preserve">Deadline (as posted)</t>
  </si>
  <si>
    <t xml:space="preserve">Eligible for You? (intl, no industry exp.)</t>
  </si>
  <si>
    <t xml:space="preserve">Visa Sponsorship</t>
  </si>
  <si>
    <t xml:space="preserve">Industry Experience</t>
  </si>
  <si>
    <t xml:space="preserve">Posting URL</t>
  </si>
  <si>
    <t xml:space="preserve">Still Open? (Oct 14 check)</t>
  </si>
  <si>
    <t xml:space="preserve">Department</t>
  </si>
  <si>
    <t xml:space="preserve">College / School</t>
  </si>
  <si>
    <t xml:space="preserve">Rank</t>
  </si>
  <si>
    <t xml:space="preserve">R1/R2</t>
  </si>
  <si>
    <t xml:space="preserve">State</t>
  </si>
  <si>
    <t xml:space="preserve">Unit</t>
  </si>
  <si>
    <t xml:space="preserve">Deadline / Review Details</t>
  </si>
  <si>
    <t xml:space="preserve">Start Date</t>
  </si>
  <si>
    <t xml:space="preserve">Sponsorship Evidence</t>
  </si>
  <si>
    <t xml:space="preserve">Work Authorization Rule</t>
  </si>
  <si>
    <t xml:space="preserve">OPT Path</t>
  </si>
  <si>
    <t xml:space="preserve">Industry Experience Detail</t>
  </si>
  <si>
    <t xml:space="preserve">Other Requirements</t>
  </si>
  <si>
    <t xml:space="preserve">Why It Fits Your CV</t>
  </si>
  <si>
    <t xml:space="preserve">Link Type</t>
  </si>
  <si>
    <t xml:space="preserve">Other URLs</t>
  </si>
  <si>
    <t xml:space="preserve">Checker Note</t>
  </si>
  <si>
    <t xml:space="preserve">URGENT - due by Oct 18</t>
  </si>
  <si>
    <t xml:space="preserve">Tenure-track</t>
  </si>
  <si>
    <t xml:space="preserve">Stanford University</t>
  </si>
  <si>
    <t xml:space="preserve">Faculty Positions in Operations, Information &amp; Technology (Tenure-Track Assistant Professor), AY 2026-2027</t>
  </si>
  <si>
    <t xml:space="preserve">deadline</t>
  </si>
  <si>
    <t xml:space="preserve">2026-10-15</t>
  </si>
  <si>
    <t xml:space="preserve">LIKELY - sponsorship not stated (ask HR); can start on OPT</t>
  </si>
  <si>
    <t xml:space="preserve">Not stated</t>
  </si>
  <si>
    <t xml:space="preserve">Not mentioned</t>
  </si>
  <si>
    <t xml:space="preserve">OK - starts after your expected PhD (June 2027); post-completion OPT can cover it</t>
  </si>
  <si>
    <t xml:space="preserve">Not submitted</t>
  </si>
  <si>
    <t xml:space="preserve">https://www.gsb.stanford.edu/jobs/faculty-positions/operations-information-technology</t>
  </si>
  <si>
    <t xml:space="preserve">yes</t>
  </si>
  <si>
    <t xml:space="preserve">Operations, Information &amp; Technology (OIT)</t>
  </si>
  <si>
    <t xml:space="preserve">Graduate School of Business</t>
  </si>
  <si>
    <t xml:space="preserve">Assistant Professor (tenure-track)</t>
  </si>
  <si>
    <t xml:space="preserve">R1</t>
  </si>
  <si>
    <t xml:space="preserve">CA</t>
  </si>
  <si>
    <t xml:space="preserve">Business school</t>
  </si>
  <si>
    <t xml:space="preserve">Applications close October 15, 2026 at 9:00 PM Pacific Time (tomorrow). To be complete, an application needs a CV, a job market paper and three letters of recommendation from recommenders. The official GSB page and HigherEdJobs both confirm this. Start date is September 1, 2027.</t>
  </si>
  <si>
    <t xml:space="preserve">2027-09-01</t>
  </si>
  <si>
    <t xml:space="preserve">nothing found. The GSB OIT posting, HigherEdJobs and the INFORMS/AmStat listings do not mention visa or work-authorization sponsorship. Questions can go to Faculty_Recruiter@gsb.stanford.edu.</t>
  </si>
  <si>
    <t xml:space="preserve">None stated</t>
  </si>
  <si>
    <t xml:space="preserve">Accept on OPT / STEM OPT; ask HR whether they file H-1B (most public universities do for tenure-track faculty).</t>
  </si>
  <si>
    <t xml:space="preserve">No industry experience is mentioned. The role expects innovative research in OIT, participation in the PhD program, and teaching of required and elective MBA courses.</t>
  </si>
  <si>
    <t xml:space="preserve">Junior applicants must have, or expect to complete, a PhD by September 1, 2027. The candidate's June 2027 expected completion meets this. The posting expects rigorous training in management science, operations research, engineering, computer science, economics and/or statistics. Required materials: CV, job market paper and 3 letters. Base pay range is $215,000-$230,000.</t>
  </si>
  <si>
    <t xml:space="preserve">OIT TT line open to IS/technology as well as operations (rubric Stanford OIT = 4); the candidate's platform econometrics and ML fit the IS/tech side. Deadline 2026-10-15 (tomorrow); elite reach.</t>
  </si>
  <si>
    <t xml:space="preserve">Official posting page</t>
  </si>
  <si>
    <t xml:space="preserve">https://www.higheredjobs.com/region/details.cfm?JobCode=179526973&amp;Title=GSB+Faculty+Positions+in+Operations%2C+Information+and+Technology+AY+2026-2027; https://careerconnect.amstat.org/job/278424/faculty-positions-in-operations-information-and-technology/?TrackID=16; https://connect.informs.org/discussion/faculty-positions-stanford-gsb-1</t>
  </si>
  <si>
    <t xml:space="preserve">The application must be submitted by 9 PM PT on 10/15/2026, which is before the user's 10/18 cutoff, and the letters must arrive too. The posting does not state any sponsorship restriction, and a PhD expected by the start date is accepted, so the candidate could start on OPT. An older INFORMS listing for the 2026 start ($215K-$225K) is outdated.</t>
  </si>
  <si>
    <t xml:space="preserve">Teaching non-tenure-track (clinical / practice / instructional)</t>
  </si>
  <si>
    <t xml:space="preserve">Non-tenure</t>
  </si>
  <si>
    <t xml:space="preserve">University of Washington</t>
  </si>
  <si>
    <t xml:space="preserve">Assistant Teaching Professor, Teaching-Track, Information Systems and Information Management (2 positions)</t>
  </si>
  <si>
    <t xml:space="preserve">LIKELY - sponsorship not stated (ask HR); can start on OPT (industry experience preferred, not required)</t>
  </si>
  <si>
    <t xml:space="preserve">Preferred</t>
  </si>
  <si>
    <t xml:space="preserve">Not this posting - you applied to University of Washington on 2026-09-30 for another line; confirm if you also want this one</t>
  </si>
  <si>
    <t xml:space="preserve">https://jobs.chronicle.com/job/38034183/assistant-teaching-professor-teaching-track-information-systems-and-information-management/?TrackID=10</t>
  </si>
  <si>
    <t xml:space="preserve">The Information School</t>
  </si>
  <si>
    <t xml:space="preserve">The Information School (iSchool)</t>
  </si>
  <si>
    <t xml:space="preserve">Assistant Teaching Professor</t>
  </si>
  <si>
    <t xml:space="preserve">WA</t>
  </si>
  <si>
    <t xml:space="preserve">Non-business IS unit</t>
  </si>
  <si>
    <t xml:space="preserve">Priority date: applications received by Oct 15, 2026 get priority (tomorrow from today, 2026-10-14). Apply through Interfolio only. The position stays open until filled. Start date is 2027-09-01.</t>
  </si>
  <si>
    <t xml:space="preserve">Nothing found. Neither the search results nor the Chronicle listing (38034183) says whether the job offers visa or H-1B sponsorship. Check the eligibility section of the UW/Interfolio posting or ask the iSchool's faculty hiring contact.</t>
  </si>
  <si>
    <t xml:space="preserve">Industry experience is not strictly required, because it is one of two alternatives. The minimum is a master's degree (or foreign equivalent) plus EITHER 3 years in a technical role in industry, government or a nonprofit, OR having taught at least one course as lead or assistant instructor. A PhD candidate with no industry experience can meet the minimum through teaching. (The 'Preferred' label is the closest fit for this either/or.)</t>
  </si>
  <si>
    <t xml:space="preserve">Master's degree (or foreign equivalent) is the minimum; a PhD is not required. You need either 3 years of technical work experience or teaching at least one course as lead or assistant instructor. Materials include a CV and a cover letter. Salary is $11,500-13,390 per month. There are 2 positions, starting 2027-09-01.</t>
  </si>
  <si>
    <t xml:space="preserve">This is a teaching-track iSchool line explicitly in Information Systems &amp; Information Management (rubric 4; track does not lower the score). The candidate meets the minimum qualifications directly through teaching: the candidate was instructor of record for Intro to Connected Systems for Business (cloud, IoT, Azure labs) and TA for ML for Business (Python) and Intro to IT Management labs (~100 students). The candidate's teaching interests (IS for business, cloud, Python, ML/data analytics, AI in business, social media analytics) fit an IS/IM curriculum. Main risk: the priority date is 2026-10-15 (tomorrow), so the candidate must submit through Interfolio immediately. A teaching-track role also gives less weight to the candidate's ISR/MISQ research pipeline.</t>
  </si>
  <si>
    <t xml:space="preserve">Job-board copy of the posting</t>
  </si>
  <si>
    <t xml:space="preserve">https://ischool.uw.edu/about/jobs/faculty</t>
  </si>
  <si>
    <t xml:space="preserve">At UW, a teaching-track Assistant Teaching Professor is a non-tenure, renewable appointment. The iSchool also had a separate, earlier IM/IS posting with a 2026-09-01 start; this row is the 2027-start cycle. The priority deadline is tomorrow, so apply right away. UW sponsorship could not be confirmed from the results, though starting on OPT would be possible.</t>
  </si>
  <si>
    <t xml:space="preserve">URGENT - priority review date by Oct 18</t>
  </si>
  <si>
    <t xml:space="preserve">Purdue University</t>
  </si>
  <si>
    <t xml:space="preserve">Assistant Professor, Management Information Systems</t>
  </si>
  <si>
    <t xml:space="preserve">open until filled; review/priority date</t>
  </si>
  <si>
    <t xml:space="preserve">Open until filled</t>
  </si>
  <si>
    <t xml:space="preserve">https://careers.purdue.edu/job/Assistant-Professor-of-Management-in-Management-Information-Systems/38552-en_US</t>
  </si>
  <si>
    <t xml:space="preserve">likely</t>
  </si>
  <si>
    <t xml:space="preserve">Management Information Systems (MIS) area</t>
  </si>
  <si>
    <t xml:space="preserve">Mitch Daniels School of Business</t>
  </si>
  <si>
    <t xml:space="preserve">IN</t>
  </si>
  <si>
    <t xml:space="preserve">The Fall 2027 MIS assistant professor search is listed on the INFORMS Career Center (job 4945) and on Indeed, which gives Purdue Req ID 44041. None of my results showed a Fall 2027 review date. An earlier agent's summary of the INFORMS posting gave a review start of 2026-10-17, but that date is unconfirmed. The prior cycle's review began 2025-10-01, so apply by 2026-10-17 to be safe.</t>
  </si>
  <si>
    <t xml:space="preserve">Fall 2027</t>
  </si>
  <si>
    <t xml:space="preserve">Nothing found for this posting: the search summary says 'Visa sponsorship: Not found in any result.' Other Purdue postings (Clinical Assistant Professor, MIS req 41739; a 2022 Organization Leadership clinical post; a November 2025 visiting post) say applicants need 'the ability to work in the US without immigration sponsorship'. None of those is a tenure-track research line, but ask mis-recruiting@purdue.edu to confirm.</t>
  </si>
  <si>
    <t xml:space="preserve">Industry experience is not mentioned. The role covers research at the intersection of business and technology, plus undergraduate and graduate teaching, curriculum development and service.</t>
  </si>
  <si>
    <t xml:space="preserve">A PhD in Information Systems, Economics, Computer Science or a related field by the start date (Fall 2027); research potential for premier outlets; evidence of teaching ability. Materials: cover letter, CV, research statement, teaching statement with evaluations if available, two writing samples and three references. A background check is required.</t>
  </si>
  <si>
    <t xml:space="preserve">MIS TT line on business-technology intersection research plus IS teaching and IS-community service: exact match to MIS PhD, ISR R&amp;R/MISQ, HICSS/ICIS/AMCIS record. Fall 2027 fits. Top target.</t>
  </si>
  <si>
    <t xml:space="preserve">https://www.indeed.com/q-purdue-professor-jobs.html; https://careercenter.informs.org/job/assistant-professor-management-information-systems-mitch-daniels-school-of-business-west-lafayette-indiana-4945</t>
  </si>
  <si>
    <t xml:space="preserve">Current-cycle req appears to be 44041 (per Indeed). The URL in the file (req 38552) is the prior Fall 2026 cycle. The research tenure-track role fits an MIS PhD expected June 2027, and the PhD is due by the Fall 2027 start. Sponsorship is unconfirmed, so ask the MIS recruiting contact.</t>
  </si>
  <si>
    <t xml:space="preserve">Associate/Full Professor, MIS</t>
  </si>
  <si>
    <t xml:space="preserve">2026-10-17</t>
  </si>
  <si>
    <t xml:space="preserve">https://careers.purdue.edu/job/AssociateFull-Professor%2C-MIS/44026-en_US</t>
  </si>
  <si>
    <t xml:space="preserve">Management Information Systems (MIS) Area, Daniels School of Business</t>
  </si>
  <si>
    <t xml:space="preserve">Associate Professor / Full Professor (tenured)</t>
  </si>
  <si>
    <t xml:space="preserve">Priority deadline of 2026-10-17 per the candidate's job-board export (req 44026). My targeted search did not surface the req 44026 page, so the date is unconfirmed. Applications are likely accepted after the priority date until the position is filled. An Indeed excerpt indicates a Fall 2027 start.</t>
  </si>
  <si>
    <t xml:space="preserve">Fall 2027 (an Indeed excerpt describes a Purdue MIS associate/full posting starting Fall 2027)</t>
  </si>
  <si>
    <t xml:space="preserve">Nothing found for req 44026; a targeted search did not return the posting. Other Purdue clinical and visiting postings include a no-immigration-sponsorship clause, but none was seen for this tenured line.</t>
  </si>
  <si>
    <t xml:space="preserve">Not mentioned in the available evidence.</t>
  </si>
  <si>
    <t xml:space="preserve">A senior rank (Associate or Full Professor, tenured), which requires an established publication and tenure record. An ABD candidate expecting a June 2027 PhD would not meet this.</t>
  </si>
  <si>
    <t xml:space="preserve">This line sits in IS/MIS in a business school, and the rubric names Purdue's Associate/Full MIS line as a 5. Field fit is very strong: the candidate's MIS PhD research covers the creator economy, influencer and video-platform dynamics, misinformation and platform governance, monetization, and IS economics. Methods include econometrics and causal inference, ML/LLMs and multimodal data. The pipeline has an R&amp;R at ISR and a paper under review at MISQ, plus HICSS, AMCIS, ICIS WeB and INFORMS papers. The candidate has been instructor of record for Intro to Connected Systems and TA for ML for Business and Intro to IT Management, which fits MIS teaching. Rank and timing risk is high: the line is tenured Associate/Full only. An ABD finishing in June 2027 with no published A-journal articles yet is a long reach, though a strong ISR/MISQ outcome could prompt an inquiry about junior lines. The 10-17 priority date is three days away. These risks do not change the field-based score of 5.</t>
  </si>
  <si>
    <t xml:space="preserve">https://www.indeed.com/q-purdue-professor-jobs.html; https://careers.purdue.edu/job/AssociateFull-Professor-of-Management-in-Management-Information-Systems/38554-en_US; https://lists.aisnet.org/pipermail/aisworld_lists.aisnet.org/20240826/052751.html</t>
  </si>
  <si>
    <t xml:space="preserve">Tenured associate/full professor line. Not realistic for a new PhD (ABD, PhD expected June 2027), so treat it as not a fit even though the priority deadline is 2026-10-17. The prior cycle was req 38554 (Fall 2026).</t>
  </si>
  <si>
    <t xml:space="preserve">APPLY NOW - review already started / rolling</t>
  </si>
  <si>
    <t xml:space="preserve">University of Virginia</t>
  </si>
  <si>
    <t xml:space="preserve">Data Analytics and Decision Science Faculty, Open Rank (TT/T)</t>
  </si>
  <si>
    <t xml:space="preserve">https://www.jobs.virginia.gov/jobs/data-analytics-and-decision-science-faculty-open-rank-tt-t-charlottesville-virginia-united-states</t>
  </si>
  <si>
    <t xml:space="preserve">Data Analytics and Decision Sciences (DADS) area</t>
  </si>
  <si>
    <t xml:space="preserve">Darden School of Business</t>
  </si>
  <si>
    <t xml:space="preserve">Open rank (Assistant / Associate / Full), tenure-track or tenured</t>
  </si>
  <si>
    <t xml:space="preserve">VA</t>
  </si>
  <si>
    <t xml:space="preserve">Review of applications began August 28, 2026. The posting says applications are welcome after that date and will be reviewed until the position is filled. Inside Higher Ed's metadata 'valid through' date of 2026-10-08 has passed, but the jobs.virginia.gov listing still shows the posting. Incomplete applications will not receive full consideration. The application contact is Amy Fitzgerald (FitzgeraldA@darden.virginia.edu). The appointment starts in Fall 2027.</t>
  </si>
  <si>
    <t xml:space="preserve">nothing found. The search results (Inside Higher Ed 3538219, the jobs.virginia.gov listing and the POMS position-description PDF) say nothing about visa sponsorship or work authorization.</t>
  </si>
  <si>
    <t xml:space="preserve">The posting does not mention industry or professional experience. The criteria are research quality and potential to publish in premier outlets, plus teaching success to the extent of the applicant's experience. Senior candidates need scholarly and managerial impact.</t>
  </si>
  <si>
    <t xml:space="preserve">A PhD in decision sciences, data science, management science, operations research, statistics, computer science or a related area must be in hand by the appointment date (Fall 2027). Applicants need evidence that they can produce research of the highest quality and publish in premier outlets. To the extent of their experience, they should show a record of success as a teacher, ideally in MBA and executive programs. The school also weighs capacity to support its new PhD program by mentoring students. All required documents must be submitted.</t>
  </si>
  <si>
    <t xml:space="preserve">The learned rubric names Darden DADS as 4. Data-science and decision-science research fits the econometrics, causal inference and ML/LLM methods. The case-method MBA teaching culture is a stretch from the candidate's undergraduate labs. Open rank. Fall 2027 start.</t>
  </si>
  <si>
    <t xml:space="preserve">https://www.poms.org/sites/default/files/2025-10/2026%20UVA%20DADS%20TT%20Position%20Description.pdf; https://careers.insidehighered.com/job/3538219/data-analytics-and-decision-science-faculty-open-rank-tt-t-/</t>
  </si>
  <si>
    <t xml:space="preserve">This is a good fit for an MIS/Management Science PhD candidate, since management science is explicitly listed. The expected June 2027 PhD should arrive before the Fall 2027 start. Sponsorship is not stated either way. As a tenure-track research post, it could likely start on OPT, with an H-1B request possible later. Confirm with Darden HR. A separate earlier-cycle DADS TT posting (Inside Higher Ed 3411502, Fall 2026 start) and a non-tenure-track Academic General Faculty DADS posting also turned up. Neither is this row. Sources: careers.insidehighered.com/job/3538219, jobs.virginia.gov, poms.org 2026 UVA DADS TT Position Description PDF.</t>
  </si>
  <si>
    <t xml:space="preserve">Miami University</t>
  </si>
  <si>
    <t xml:space="preserve">Assistant Professor of Information Systems (Cybersecurity Focus)</t>
  </si>
  <si>
    <t xml:space="preserve">Not this posting - you applied to Miami University on 2026-07-13 for another line; confirm if you also want this one</t>
  </si>
  <si>
    <t xml:space="preserve">https://miamioh.wd5.myworkdayjobs.com/en-US/miamioh-faculty/job/Farmer-School-of-Business/Assistant-Professor_JR104289</t>
  </si>
  <si>
    <t xml:space="preserve">Department of Information Systems &amp; Analytics (ISA)</t>
  </si>
  <si>
    <t xml:space="preserve">Farmer School of Business</t>
  </si>
  <si>
    <t xml:space="preserve">Assistant Professor</t>
  </si>
  <si>
    <t xml:space="preserve">R2</t>
  </si>
  <si>
    <t xml:space="preserve">OH</t>
  </si>
  <si>
    <t xml:space="preserve">The candidate list gives 2026-09-01 as the priority review date, which has already passed. The search did not show a final closing date. Chronicle lists JR104289 as posted Jun 8, 2026, for a Fall 2027 start. The Workday requisition still appears in search results, so it is most likely still accepting applications. Check the Workday page to confirm.</t>
  </si>
  <si>
    <t xml:space="preserve">nothing found: the search summary on the Chronicle/Workday listings says nothing about visa sponsorship either way</t>
  </si>
  <si>
    <t xml:space="preserve">The search showed no industry or professional experience requirement. Duties listed are teaching in the Information Systems &amp; Cybersecurity Management (ISCM) program, research, advising, service, and business community engagement.</t>
  </si>
  <si>
    <t xml:space="preserve">A doctorate in information systems or a closely related field is required by the appointment date, or by Dec 31, 2027 for a second-year appointment. Assistant Professor appointments also require prior experience teaching IS courses in a business school. That wording comes from the Chronicle listing for the sibling requisition JR104290 (Assistant or Associate Professor - IS). JR104289 most likely uses the same wording, but this is not confirmed. The candidate's June 2027 PhD would meet the timeline.</t>
  </si>
  <si>
    <t xml:space="preserve">Under the learned rubric, a tenure-track IS line in a business-school IS department scores 5, and IS lines with a cybersecurity emphasis are explicitly included (compare Kennesaw IS &amp; Security). The candidate's MIS PhD from UWM Lubar (June 2027) fits the Fall 2027 start. The R&amp;R at ISR and the MISQ submission match the requirement of research aimed at top-tier IS journals. Teaching fits well: they were instructor of record for Intro to Connected Systems for Business (cloud, IoT, Azure labs) and TA for Intro to IT Management labs, which suits the ISCM core and its infrastructure and IT-management courses. Risks: the research (creator economy, influencers, misinformation and platform governance, monetization) is not about cybersecurity, so the application needs to frame the platform-governance and misinformation work as information-risk and trust-and-safety work. The 2026-09-01 priority date has passed, so a late application may get less attention. The sister posting asks assistant-level applicants for prior business-school teaching, which this candidate's instructor-of-record experience satisfies. Applying as ABD with a June 2027 defense is acceptable for a Fall 2027 start.</t>
  </si>
  <si>
    <t xml:space="preserve">https://jobs.chronicle.com/job/37998066/assistant-professor/?TrackID=10</t>
  </si>
  <si>
    <t xml:space="preserve">Full-time tenure-track Assistant Professor of IS (Cybersecurity Focus) at the Farmer School of Business in Oxford, OH, starting Fall 2027. There is also a sibling posting, JR104290 (Assistant or Associate Professor - Information Systems). The research-tenure-track type matches the candidate's need for long-term H-1B sponsorship. The search returned no sponsorship statement, so the candidate should ask HR. The cybersecurity focus is a fit concern for an MIS PhD. Sources: https://jobs.chronicle.com/job/37998066/assistant-professor/ ; https://jobs.chronicle.com/job/37998957/assistant-or-associate-professor-information-systems/ ; https://miamioh.wd5.myworkdayjobs.com/en-US/miamioh-faculty/job/Farmer-School-of-Business/Assistant-Professor_JR104289</t>
  </si>
  <si>
    <t xml:space="preserve">Carnegie Mellon University</t>
  </si>
  <si>
    <t xml:space="preserve">Tenure Track Position in Business Technology</t>
  </si>
  <si>
    <t xml:space="preserve">https://apply.interfolio.com/189675</t>
  </si>
  <si>
    <t xml:space="preserve">Business Technologies (Business Technology area)</t>
  </si>
  <si>
    <t xml:space="preserve">Tepper School of Business</t>
  </si>
  <si>
    <t xml:space="preserve">Open rank (tenure-track; Assistant/Associate/Full)</t>
  </si>
  <si>
    <t xml:space="preserve">PA</t>
  </si>
  <si>
    <t xml:space="preserve">The Interfolio posting (apply.interfolio.com/189675) gives a deadline of Sep 20, 2026, 11:59 PM ET, and the Chronicle listing says review began Sep 10, 2026. Both dates have passed as of 2026-10-14. Interfolio also says applications may continue to be considered until the position is filled, so late applications may still be accepted. Contact for confirmation: search coordinator Phillip Conley (pconley@cmu.edu).</t>
  </si>
  <si>
    <t xml:space="preserve">nothing found. The search results (Interfolio, Chronicle, AIS, HigherEdJobs, INFORMS copies) say nothing about visa or H-1B sponsorship or work authorization.</t>
  </si>
  <si>
    <t xml:space="preserve">No industry or professional experience is mentioned. The posting asks for research potential (top business journals) and teaching ability.</t>
  </si>
  <si>
    <t xml:space="preserve">Doctoral degree required by the time of appointment, in a field such as Information Systems, Economics, Marketing, Operations Research, or CS/Machine Learning. Recent PhDs with a strong research and teaching record are considered. Requires the capacity for high-quality research publishable in top business journals, and teaching ability shown by evaluations or recommendation letters. AI/ML and LLM research applied to business problems is welcome. Open rank, starting Fall 2027. Application materials, submitted via Interfolio: application letter, CV, up to 3 research papers, and 3 recommendation letters.</t>
  </si>
  <si>
    <t xml:space="preserve">Tepper Business Technology (IS) line, one of the candidate's own 5-rated examples. The stated interest in AI/ML and LLM methods for business matches the ML/LLM and multimodal methods and the ISR R&amp;R. Open rank and highly competitive. Fall 2027.</t>
  </si>
  <si>
    <t xml:space="preserve">https://jobs.chronicle.com/job/38018066/tenure-track-position-in-business-technology/; https://academiccareers.aisnet.org/job/position-title-tenure-track-position-in-business-technology/85423673/; https://www.higheredjobs.com/faculty/details.cfm?JobCode=179505394&amp;Title=Tenure+Track+Position+in+Business+Technology; https://www.cmu.edu/tepper/faculty-and-research/faculty-recruiting/faculty-recruiting.html</t>
  </si>
  <si>
    <t xml:space="preserve">A strong fit for an MIS PhD, though the candidate must have the PhD conferred by the Fall 2027 start (expected June 2027). The posted deadline passed on Sep 20, 2026, but the 'until filled' clause means the candidate should apply as soon as possible. CMU is an R1 university and routinely hires international tenure-track faculty, but the search did not confirm sponsorship for this posting. The 12-month OPT (plus STEM OPT if eligible) could cover the start. Sources: https://apply.interfolio.com/189675 ; https://jobs.chronicle.com/job/38018066/tenure-track-position-in-business-technology/ ; https://academiccareers.aisnet.org/job/position-title-tenure-track-position-in-business-technology/85423673/ ; https://www.higheredjobs.com/faculty/details.cfm?JobCode=179505394&amp;Title=Tenure+Track+Position+in+Business+Technology</t>
  </si>
  <si>
    <t xml:space="preserve">Binghamton University</t>
  </si>
  <si>
    <t xml:space="preserve">Assistant Professor of Management Information Systems (emphasis on Operations and Supply Chain Management)</t>
  </si>
  <si>
    <t xml:space="preserve">LIKELY via OPT - posting says H-1B "may not be available"; Binghamton HR says H-1B is possible for tenure-track lines. Confirm with HR</t>
  </si>
  <si>
    <t xml:space="preserve">Uncertain ("may not be available")</t>
  </si>
  <si>
    <t xml:space="preserve">https://binghamton.interviewexchange.com/jobofferdetails.jsp?JOBID=205076</t>
  </si>
  <si>
    <t xml:space="preserve">Management Information Systems area (SOM has no formal departments)</t>
  </si>
  <si>
    <t xml:space="preserve">School of Management</t>
  </si>
  <si>
    <t xml:space="preserve">NY</t>
  </si>
  <si>
    <t xml:space="preserve">Interview Exchange JOBID 205076 was posted Sep 23, 2026 and reads 'Closes: Open Until Filled', with no review or priority date. The anticipated start is Aug 16, 2027, subject to budgetary approval. Apply early, because review is rolling.</t>
  </si>
  <si>
    <t xml:space="preserve">2027-08-16 (subject to budgetary approval)</t>
  </si>
  <si>
    <t xml:space="preserve">The posting says 'H1B visa sponsorship may not be available for this position.' This is a hedge, not an outright refusal. Separately, Binghamton HR's H1B Visa General Info page says H-1B sponsorship may be available for tenure-track positions. Treat this as uncertain and confirm with SOM/HR.</t>
  </si>
  <si>
    <t xml:space="preserve">No industry or professional experience requirement appeared. Preferred qualifications are research that bridges IS and operations/supply chain management, and experience teaching core Operations Management, technology and operations management, SCM, process improvement or related courses.</t>
  </si>
  <si>
    <t xml:space="preserve">Requires a PhD in business administration specializing in MIS, operations management or a closely related field, or all degree requirements completed by the Aug 16, 2027 start (so ABD qualifies if the degree is done by then). The hire must be prepared to teach Operations, SCM and related courses at the undergraduate and graduate levels.</t>
  </si>
  <si>
    <t xml:space="preserve">Tenure-track line titled MIS in a business school, so 5. Fit: ISR R&amp;R and MISQ submission; econometrics and system-dynamics methods. Risk: the Operations &amp; Supply Chain emphasis is outside the creator-economy agenda, so pitch system dynamics and platform operations. 2027-08-16 start, subject to budget.</t>
  </si>
  <si>
    <t xml:space="preserve">https://jobs.chronicle.com/job/38043040/assistant-professor-of-management-information-systems/; https://careers.insidehighered.com/job/3555718/assistant-professor-of-management-information-systems/; https://academiccareers.aisnet.org/jobs/country/United-States/; https://binghamton.interviewexchange.com/jobsrss.jsp?COMPANYID=270&amp;categoryID=365</t>
  </si>
  <si>
    <t xml:space="preserve">This is a good fit for an MIS PhD with June 2027 completion. Sponsorship is hedged ('may not be available'), but it is a tenure-track line and university HR policy allows H-1B for tenure-track roles. The candidate could start on OPT, which covers 12 months, or up to 36 with STEM OPT if the degree is STEM-designated and SUNY uses E-Verify. Confirm the H-1B intent with the search committee.</t>
  </si>
  <si>
    <t xml:space="preserve">Kennesaw State University</t>
  </si>
  <si>
    <t xml:space="preserve">Assistant Professor of Information Systems and Security (Cybersecurity)</t>
  </si>
  <si>
    <t xml:space="preserve">Not this posting - you applied to Kennesaw State University on 2026-09-28 for another line; confirm if you also want this one</t>
  </si>
  <si>
    <t xml:space="preserve">https://www.udiversity.com/posting/7276573</t>
  </si>
  <si>
    <t xml:space="preserve">Michael J. Coles College of Business, Department of Information Systems and Security</t>
  </si>
  <si>
    <t xml:space="preserve">Coles College of Business</t>
  </si>
  <si>
    <t xml:space="preserve">GA</t>
  </si>
  <si>
    <t xml:space="preserve">The full-consideration date was 2026-09-27 (HigherEdJobs: 'For full consideration, please apply by September 27, 2026'), and that date has passed. An aggregator (Bebee/Lensa) lists the posting as valid through 2026-09-29. In the search snippets, the Chronicle and HigherEdJobs listings show a blank 'Apply Before Date'. The original file says applications are accepted until the position is filled. No confirmation of a closure was found. Check the USG OneHCM careers page (Job Opening ID 300740) to confirm it is still active.</t>
  </si>
  <si>
    <t xml:space="preserve">August 2027 (preferred)</t>
  </si>
  <si>
    <t xml:space="preserve">Nothing found. The search results (Chronicle 38016277, HigherEdJobs 179502436, aggregators) do not mention visa sponsorship or work authorization. One snippet only notes that the work must be performed in Georgia.</t>
  </si>
  <si>
    <t xml:space="preserve">No industry or professional work-experience requirement appears. The posting asks for 'documented cybersecurity technical skills' and a research record. These are technical-skill and research requirements, not years of industry employment.</t>
  </si>
  <si>
    <t xml:space="preserve">A doctorate in Business Administration, Information Systems, Information Security, Cybersecurity, or a closely related field must be in hand at the time of hire, earned from an AACSB-accredited school. Prior teaching experience is required. Documented cybersecurity technical skills and a research record are expected. Full-time, tenure-track, nine-month contract. Preferred start is August 2027, so a June 2027 PhD fits if it is conferred before the start date. The role teaches undergraduate and graduate courses in the technical aspects of cybersecurity.</t>
  </si>
  <si>
    <t xml:space="preserve">Field-based score of 5: a tenure-track IS line in a business school (Coles Dept of IS &amp; Security), the candidate's own rubric example 'Kennesaw IS &amp; Security'. Supporting CV elements: MIS-concentration PhD from UWM Lubar; ISR R&amp;R and MISQ under review; HICSS/AMCIS/ICIS publications; instructor of record for Intro to Connected Systems for Business (cloud, IoT, Azure labs), which partly overlaps technical systems content. Specialization risk: the line asks for someone to teach the technical side of cybersecurity, and the candidate's research (creator economy, misinformation/platform governance, monetization, IS economics) and teaching record contain no security work. Only the platform-governance/misinformation research and the cloud/IoT course connect, which makes this a weak 5 that will be hard to win. Timing: August 2027 start matches the expected June 2027 PhD (ABD). The full-consideration date has passed, so apply immediately if the portal is still live.</t>
  </si>
  <si>
    <t xml:space="preserve">https://jobs.chronicle.com/job/38016277/assistant-professor-of-information-systems-and-security-cybersecurity-/; https://www.ziprecruiter.com/c/Kennesaw-State-University/Job/Assistant-Professor-of-Information-Systems-and-Security-(Cybersecurity)/-in-Kennesaw,GA?jid=8acda15458fe4f78; https://careers.hprod.onehcm.usg.edu/psc/careers/CAREERS/HRMS/c/HRS_HRAM_FL.HRS_CG_SEARCH_FL.GBL?Page=HRS_APP_JBPST_FL&amp;Action=U&amp;FOCUS=Applicant&amp;SiteId=43000&amp;JobOpeningId=300740&amp;PostingSeq=1; https://www.higheredjobs.com/faculty/details.cfm?JobCode=179502436</t>
  </si>
  <si>
    <t xml:space="preserve">This is a cybersecurity-focused information systems role. The candidate's MIS PhD may fit, but the 'documented cybersecurity technical skills' requirement could be a gap. Do not confuse it with KSU's separate 'Assistant Professor of Information Systems and Security' (Chronicle 38016276) or the FinTech posting (HigherEdJobs 179141340, which had an older 2025 deadline). Sponsorship is not stated. KSU is a public USG university, so it can file cap-exempt H-1B petitions, but this posting does not confirm that it will. The candidate can start on OPT. Sources: https://jobs.chronicle.com/job/38016277/assistant-professor-of-information-systems-and-security-cybersecurity-/ , https://www.higheredjobs.com/faculty/details.cfm?JobCode=179502436 , https://bebee.com/us/jobs/assistant-professor-cybersecurity-information-systems-kennesaw-state-university-kennesaw--lensa-7428_daad1b3e0ce31083e0d6652d10a55eba3830ef7ffaf1b890f8f45970f41e7089</t>
  </si>
  <si>
    <t xml:space="preserve">Lecturer / instructor (full-time, non-tenure)</t>
  </si>
  <si>
    <t xml:space="preserve">Auburn University</t>
  </si>
  <si>
    <t xml:space="preserve">Lecturer or Professor of Practice, Business Analytics &amp; Information Systems (non-tenure-track)</t>
  </si>
  <si>
    <t xml:space="preserve">LIKELY - sponsorship not stated (ask HR); can start on OPT - CAUTION: "Professor of Practice" titles usually expect industry experience; ask before applying</t>
  </si>
  <si>
    <t xml:space="preserve">Not this posting - you applied to Auburn University on 2026-09-30 for another line; confirm if you also want this one</t>
  </si>
  <si>
    <t xml:space="preserve">https://jobs.chronicle.com/job/38039108/lecturer-or-professor-of-practice/?TrackID=10</t>
  </si>
  <si>
    <t xml:space="preserve">Business Analytics &amp; Information Systems (BASY)</t>
  </si>
  <si>
    <t xml:space="preserve">Raymond J. Harbert College of Business</t>
  </si>
  <si>
    <t xml:space="preserve">Lecturer or Professor of Practice. Lecturer is the realistic rank for this candidate; Professor of Practice usually implies industry experience.</t>
  </si>
  <si>
    <t xml:space="preserve">AL</t>
  </si>
  <si>
    <t xml:space="preserve">Review of applications began 2026-10-01 and continues until a qualified candidate is selected and recommended for appointment; no fixed closing date. Chronicle posting 38039108 still appeared in search results on 2026-10-14. Start date: August 2027. The review is already underway, so apply as soon as possible.</t>
  </si>
  <si>
    <t xml:space="preserve">August 2027</t>
  </si>
  <si>
    <t xml:space="preserve">Nothing found. The search results (Chronicle posting snippets) do not mention visa sponsorship or work authorization, and the retrieved text cut off before the full qualifications section. Confirm with the BASY search committee or Auburn HR.</t>
  </si>
  <si>
    <t xml:space="preserve">The retrieved posting text has no explicit industry-experience requirement. It says the hire is 'expected to bring experience, innovation, enthusiasm, and leadership to these courses.' The 'Professor of Practice' rank usually implies practitioner or industry experience (the department has hired practitioners, e.g. a Professor of Practice with a 33-year industry career), so a candidate with no industry experience would realistically fit only the Lecturer rank. This is an inference, not stated in the posting.</t>
  </si>
  <si>
    <t xml:space="preserve">Doctoral degree in Analytics, Information Systems, Computer Science or a related field from an AACSB-accredited institution (per the posting evidence; the full text was truncated). Nine-month, non-tenure-track, non-tenure-eligible teaching role. Teaches analytics courses (Introduction to Business Analytics, Machine Learning, Descriptive Analytics). Annual appointment; renewal depends on funding, need for services and performance. Application materials start with a cover letter (the full list was truncated).</t>
  </si>
  <si>
    <t xml:space="preserve">Non-tenure-track teaching line in Harbert's Business Analytics &amp; Information Systems department, so 5. Fit: instructor of record for Connected Systems, TA for ML for Business and the IT Management labs. Lecturer is the realistic rank because Professor of Practice usually expects industry experience, which the candidate lacks. August 2027 start fits.</t>
  </si>
  <si>
    <t xml:space="preserve">https://business.academickeys.com/seeker_job_display.php?dothis=display&amp;job%5BIDX%5D=280205-280205-rss; https://jobs.chronicle.com/jobs/faculty-positions/auburn/?keywords=business+analytics&amp;sort=Date</t>
  </si>
  <si>
    <t xml:space="preserve">Teaching-focused, non-tenure-track BASY role at the Harbert College of Business. It fits an MIS/analytics PhD. For a candidate who finishes the PhD in June 2027 and starts in August 2027, OPT could cover the first year, but H-1B sponsorship is unconfirmed, so ask HR before relying on it. Sources: https://jobs.chronicle.com/job/38039108/lecturer-or-professor-of-practice/?TrackID=10 ; https://harbert.auburn.edu/blogs/auburn-management/meet-prof-adair.html</t>
  </si>
  <si>
    <t xml:space="preserve">Southern Methodist University</t>
  </si>
  <si>
    <t xml:space="preserve">Non-Tenure Track Faculty Position in Information Technology &amp; Operations Management #049906</t>
  </si>
  <si>
    <t xml:space="preserve">https://www.higheredjobs.com/faculty/details.cfm?JobCode=179538136</t>
  </si>
  <si>
    <t xml:space="preserve">Information Technology &amp; Operations Management (ITOM)</t>
  </si>
  <si>
    <t xml:space="preserve">Cox School of Business</t>
  </si>
  <si>
    <t xml:space="preserve">Full-time non-tenure-track professorial line. The exact title is not stated on HigherEdJobs; one search summary calls it 'Professor of Practice', and SMU's earlier ITOM NTT ad (#53341) was 'Professor of Practice or Clinical Professor'.</t>
  </si>
  <si>
    <t xml:space="preserve">TX</t>
  </si>
  <si>
    <t xml:space="preserve">HigherEdJobs lists the application due date as 'Open Until Filled'. It was posted about 48 days before this search, and the position starts in Fall 2027. An earlier summary mentioned an Oct 1, 2026 priority date, which has passed, but applications are still accepted until the role is filled. Contacts: Jill McGinness (jmcginness@smu.edu) and the chair, Sree Bhaskaran.</t>
  </si>
  <si>
    <t xml:space="preserve">nothing found. Neither the HigherEdJobs posting nor the INFORMS Connect post mentions visa or H-1B sponsorship. The only related text is general EEO and diversity language.</t>
  </si>
  <si>
    <t xml:space="preserve">Industry experience is not required for PhD-holders. The minimum is 'Graduate degrees in Information Systems (or related field such as CS, Management Science and Operations Research) OR extensive business experience'. Business experience is an alternative to the degree, so a PhD-holder qualifies without it.</t>
  </si>
  <si>
    <t xml:space="preserve">Minimum: a graduate degree in IS or a related field (Management Science/OR counts), plus THREE YEARS of university-level teaching experience, preferably at a business school. This is a likely hurdle for an ABD candidate unless they already have about 3 years as instructor of record. Preferred: a PhD in IS or a related field specializing in AI or Data Management. Load: 18 credit hours/year plus service, across UG, graduate, professional and online programs. Start date: Fall 2027.</t>
  </si>
  <si>
    <t xml:space="preserve">NTT line preferring a PhD in IS with AI or data-management specialization - IS field in a business school (5); matches MIS PhD, ML/LLM skills and IS teaching (Connected Systems, IT Mgmt labs). 18-credit load; Fall 2027 fits.</t>
  </si>
  <si>
    <t xml:space="preserve">https://www.smu.edu/cox/at-smu-cox/employment; https://jobs.chronicle.com/job/38046214/faculty-positions-2026-27/</t>
  </si>
  <si>
    <t xml:space="preserve">Full-time non-tenure-track ITOM line at SMU Cox, possibly titled Professor of Practice or Clinical Professor. The rank is not confirmed on the posting. The main risk is the 3-year university teaching minimum. Sponsorship is not stated, so the candidate could start on OPT (or STEM OPT if eligible), but long-term H-1B sponsorship should be confirmed with the department. SMU is a private university, so the H-1B cap applies unless SMU qualifies as cap-exempt, which as a nonprofit higher-education institution it typically does.</t>
  </si>
  <si>
    <t xml:space="preserve">AY2026-2027 #49928 Associate or Professor in Information Technology and Operations Management</t>
  </si>
  <si>
    <t xml:space="preserve">https://apply.interfolio.com/191584</t>
  </si>
  <si>
    <t xml:space="preserve">Associate Professor or Full Professor (tenured; endowed positions possible)</t>
  </si>
  <si>
    <t xml:space="preserve">Interfolio (apply.interfolio.com/191584) says review began immediately and continues until hiring is complete. Priority went to applications received by Oct 1, 2026, which has passed. Initial interviews will be at the INFORMS Annual Meeting (Oct-Nov 2026) and by Zoom. Start date: August 2027.</t>
  </si>
  <si>
    <t xml:space="preserve">nothing found. The search results for the Interfolio and HigherEdJobs postings do not mention visa or employment sponsorship.</t>
  </si>
  <si>
    <t xml:space="preserve">No industry experience requirement. The qualifications are research and teaching based.</t>
  </si>
  <si>
    <t xml:space="preserve">Requires a PhD or equivalent terminal degree in IS, Business Analytics, Operations Management or a related field, plus a demonstrated record of high-quality research and teaching. 'All candidates should demonstrate established post-tenure achievements and a robust pipeline of ongoing research.' A top-tier publication record and professional service are preferred. Rank: Associate or Full Professor, tenured, possibly endowed. Materials: cover letter, CV, writing samples, three references, and evidence of teaching effectiveness.</t>
  </si>
  <si>
    <t xml:space="preserve">ITOM (IT/IS + OM) line - rubric places SMU ITOM at 4; field fits the candidate's IS research and ISR/MISQ pipeline. Rank risk: tenured Associate/Full (possibly endowed), a reach for an ABD. Aug 2027.</t>
  </si>
  <si>
    <t xml:space="preserve">https://www.higheredjobs.com/faculty/details.cfm?JobCode=179536789; https://www.smu.edu/cox/at-smu-cox/employment</t>
  </si>
  <si>
    <t xml:space="preserve">NOT suitable for this candidate. This is a senior tenured hire (Associate or Full Professor) that requires established post-tenure achievements, so an ABD candidate expecting a PhD in June 2027 is ineligible. Recommend excluding it from the apply list even though it is still open.</t>
  </si>
  <si>
    <t xml:space="preserve">APPLY NOW - rolling, no fixed deadline</t>
  </si>
  <si>
    <t xml:space="preserve">University of California, San Diego</t>
  </si>
  <si>
    <t xml:space="preserve">Lecturer at the Rady School of Management (JPF04466)</t>
  </si>
  <si>
    <t xml:space="preserve">late close date (pool / posting end)</t>
  </si>
  <si>
    <t xml:space="preserve">2027-02-26</t>
  </si>
  <si>
    <t xml:space="preserve">TIMING ISSUE - starts before your PhD is done (June 2027): needs CPT or pre-completion OPT from your DSO; ask about a Fall 2027 start</t>
  </si>
  <si>
    <t xml:space="preserve">https://apol-recruit.ucsd.edu/JPF04466</t>
  </si>
  <si>
    <t xml:space="preserve">Rady School of Management (multi-area lecturer pool: Marketing; Economics and Strategy; Management; Innovation, Technology, and Operations; eligible degree fields incl. Information Systems, Business Analytics, Data Science)</t>
  </si>
  <si>
    <t xml:space="preserve">Rady School of Management</t>
  </si>
  <si>
    <t xml:space="preserve">Lecturer (temporary non-senate, Unit 18)</t>
  </si>
  <si>
    <t xml:space="preserve">Open date Mar 16, 2026; most recent review date Sep 20, 2026 has passed (later applications reviewed only if the pool position is not yet filled); final date Fri Feb 26, 2027 11:59pm PT. Rolling pool appointments by quarter for AY 2026-27.</t>
  </si>
  <si>
    <t xml:space="preserve">AY 2026-27 (as needed, by quarter)</t>
  </si>
  <si>
    <t xml:space="preserve">nothing found: the search results summarizing the official AP On-Line Recruit page JPF04466 and its mirror postings (PhD Project, HERC, HBCUConnect) say nothing about visa sponsorship or work authorization. The contact for asking is AP@rady.ucsd.edu.</t>
  </si>
  <si>
    <t xml:space="preserve">Basic qualification: at least 1 year of teaching experience OR specialized field expertise in a business discipline. Industry work can count toward this, but it is not required, because teaching experience (e.g., as a PhD instructor of record) also meets it. No set number of years of industry experience is stated. A companion Rady posting (Lecturer in Accounting or Finance) asks for 5+ years of practical business experience, but that is not this posting.</t>
  </si>
  <si>
    <t xml:space="preserve">Basic: a bachelor's degree in Economics, Management, Marketing, Information Systems, Business Analytics, Data Science or a related field (e.g., Statistics), plus 1+ year of teaching experience or field expertise. Preferred: a graduate degree in those fields. Documents: CV and teaching statement (cover letter and research statement optional). Courses for 2026-27 include MGT 100, 106, 112, 118, 168 and 440.</t>
  </si>
  <si>
    <t xml:space="preserve">Rady multi-area lecturer pool whose Innovation, Technology &amp; Operations area lists IS, business analytics and data science as eligible fields, a combined unit where IS is one area, so 4. The candidate's Python ML, cloud and IT Management teaching fit. Risks: per-quarter, as-needed AY 2026-27, in person in San Diego.</t>
  </si>
  <si>
    <t xml:space="preserve">https://academicplacement.ama.org/jobs/?keywords=rady+school+of+management%2C+university+of+california%2C+san+diego</t>
  </si>
  <si>
    <t xml:space="preserve">This is a temporary non-senate (Unit 18) lecturer POOL. It is not tenure-track, and appointments are per quarter and as needed, with percent time not guaranteed (so it may be part-time; full-time status is not stated). Estimated salary $110,581-$188,256 on an annual FTE basis. It is a possible OPT-based option after the June 2027 PhD, but the posting is silent on sponsorship, and short or part-time pool appointments are often a poor fit for H-1B. This also fits loosely with the 10/18 target: the priority review date has already passed, and the final date is 2/26/2027.</t>
  </si>
  <si>
    <t xml:space="preserve">Part-time / adjunct (non-tenure)</t>
  </si>
  <si>
    <t xml:space="preserve">Colorado State University</t>
  </si>
  <si>
    <t xml:space="preserve">Adjunct Faculty, Department of Computer Information Systems - Open Pool</t>
  </si>
  <si>
    <t xml:space="preserve">2027-02-28</t>
  </si>
  <si>
    <t xml:space="preserve">Not stated - fine for Fall 2027 or later; any earlier term needs CPT</t>
  </si>
  <si>
    <t xml:space="preserve">https://www.tealhq.com/job/adjunct-faculty-department-of-computer-information-systems-open-pool_cf1394da-9120-4e71-8fc7-5e098746cc26</t>
  </si>
  <si>
    <t xml:space="preserve">Computer Information Systems</t>
  </si>
  <si>
    <t xml:space="preserve">College of Business</t>
  </si>
  <si>
    <t xml:space="preserve">Adjunct Faculty (non-tenure-track, open pool)</t>
  </si>
  <si>
    <t xml:space="preserve">CO</t>
  </si>
  <si>
    <t xml:space="preserve">2027-02-28 is the pool close date from the candidate's list (Workday req R2026107635). Search could not confirm it. Mirrors of the older posting 202500147F give conflicting dates. One says 'To ensure full consideration, applications must be received by 11:59 p.m. (MT) on June 30, 2026'. Another says 'Applications will be accepted throughout the calendar year.' It is a rolling open pool. The newer Workday requisition is likely still active, but check the jobs.colostate.edu / Workday page to confirm.</t>
  </si>
  <si>
    <t xml:space="preserve">Not stated (per-course/semester hiring from the pool)</t>
  </si>
  <si>
    <t xml:space="preserve">nothing found. The ZipRecruiter, Teal, cobioscience and jobs.colostate.edu results do not mention visa sponsorship or work authorization.</t>
  </si>
  <si>
    <t xml:space="preserve">Accept on OPT / STEM OPT; ask HR whether they file H-1B (most public universities do for tenure-track faculty). PART-TIME: OPT needs &gt;= 20 hrs/week of qualifying work; STEM OPT needs &gt;= 20 hrs/week with ONE E-Verify employer, so an adjunct course load alone may not satisfy OPT.</t>
  </si>
  <si>
    <t xml:space="preserve">Industry experience is not required. The minimum qualifications list 'Substantial executive-level experience in tandem with a relevant undergraduate degree' only as an alternative to a master's or PhD. The preferred qualification is 'previous university teaching experience in a college of business in relevant subject areas or experience teaching in a business setting', which is teaching experience, not industry work. A PhD candidate in MIS meets the degree route without industry experience.</t>
  </si>
  <si>
    <t xml:space="preserve">Applicable master's degree in a relevant area (AI/ML, analytics, cloud computing, programming, cybersecurity, data management, ERP, networking, project management, information systems, systems analysis and design, or web/mobile development). A PhD or PhD candidacy in a relevant field also qualifies. Must be able to teach courses in one or more of the specified areas. Prior university or business-setting teaching is preferred. Per the file: fully in-person in Fort Collins, CO, paid $7,000-$7,500 per class.</t>
  </si>
  <si>
    <t xml:space="preserve">This is an IS/CIS department in a business school (CSU College of Business CIS), which the candidate's own labeled list names as a 5. The candidate has relevant teaching: instructor of record for Intro to Connected Systems for Business (cloud, IoT, Azure labs), TA for Machine Learning for Business (Python) and Intro to IT Management labs (~100 students). Their teaching interests (Python for business, cloud, IS for business, ML/data analytics, social media analytics) match typical CIS courses. The candidate is ABD at UW-Milwaukee (MIS), so they likely meet the 'PhD candidacy' qualification. Risks that do not lower the score: part-time per-course pay with no benefits or research support; the older listing says fully in-person in Fort Collins, so it would mean relocating or commuting from Milwaukee before the June 2027 PhD; some listings prefer executive-level experience, which the candidate lacks; and a pool is not a guaranteed hire.</t>
  </si>
  <si>
    <t xml:space="preserve">https://www.higheredjobs.com/faculty/details.cfm?JobCode=178838709; https://www.ziprecruiter.com/c/Colorado-State-University/Job/Adjunct-Faculty,-Department-of-Computer-Information-Systems-Open-Pool/-in-Fort-Collins,CO?jid=1075b7e1301d6785; https://csusystem.wd12.myworkdayjobs.com/en-US/fortcollins_careers/job/Fort-Collins-CO/Adjunct-Faculty--Department-of-Computer-Information-Systems---Open-Pool_R2026107635?source=HigherEdJobs</t>
  </si>
  <si>
    <t xml:space="preserve">This is a per-course adjunct pool, not a full-time faculty line, and sponsorship is not stated. Per-course adjunct roles rarely support H-1B. Post-completion OPT begins only after the June 2027 PhD, and a single-course load may fall short of the 20 hrs/week that OPT employment typically requires. Teaching here before graduation (2026-27) would need CPT authorization from the candidate's own university (general F-1 rules, not stated in the posting). It is a low-priority fallback for an international candidate who needs sponsorship. Sources: ziprecruiter.com CSU CIS adjunct pool listing; careers.cobioscience.com/job/2836; tealhq.com listing; jobs.colostate.edu.</t>
  </si>
  <si>
    <t xml:space="preserve">University of Texas at Dallas</t>
  </si>
  <si>
    <t xml:space="preserve">Open-Rank Tenure-System Faculty Position in Information Systems (Posting F01197P)</t>
  </si>
  <si>
    <t xml:space="preserve">2027-04-30</t>
  </si>
  <si>
    <t xml:space="preserve">https://jobs.utdallas.edu/postings/32958</t>
  </si>
  <si>
    <t xml:space="preserve">Information Systems area (posting lists department as Management)</t>
  </si>
  <si>
    <t xml:space="preserve">Naveen Jindal School of Management</t>
  </si>
  <si>
    <t xml:space="preserve">Open rank: Assistant, Associate, or Full Professor (tenure system)</t>
  </si>
  <si>
    <t xml:space="preserve">Search results confirm the posting opened 10/14/2026 and closes 04/30/2027, with a desired start of 08/01/2027. No review-start date was shown. IS hiring usually screens in fall (ICIS season), so apply soon.</t>
  </si>
  <si>
    <t xml:space="preserve">2027-08-01</t>
  </si>
  <si>
    <t xml:space="preserve">Nothing found. The search summary of jobs.utdallas.edu said none of the results mention immigration or visa sponsorship for this role.</t>
  </si>
  <si>
    <t xml:space="preserve">No industry experience requirement. The experience asked for is academic: per the search summary, 'We are looking for candidates with a minimum of three years working experience as tenure-tracked assistant professors.' Associate and full candidates need a research, teaching and service record that fits the rank.</t>
  </si>
  <si>
    <t xml:space="preserve">A PhD or equivalent in Information Systems or a related field must be in hand before employment (by the 8/1/2027 start; the candidate expects to finish in June 2027). The posting is open rank (Assistant, Associate or Full), but it reportedly asks for at least 3 years as a tenure-track assistant professor. It focuses on AI research and expects a strong record of top-journal IS publications.</t>
  </si>
  <si>
    <t xml:space="preserve">Open-rank IS in JSOM = 5. IT and business-analytics teaching plus the ISR R&amp;R, MISQ and IS-economics research fit directly. The candidate would enter at the junior end of open rank. Deadline 4/30/2027. Aug 2027 start fits.</t>
  </si>
  <si>
    <t xml:space="preserve">https://jobs.utdallas.edu/postings/search?query=&amp;query_v0_posted_at_date=&amp;query_position_type_id%5B%5D=2&amp;commit=Search</t>
  </si>
  <si>
    <t xml:space="preserve">Concern about fit: the summary says the search wants at least 3 years of tenure-track assistant professor experience, which effectively rules out new PhDs, even though the job is labeled open rank. The search result linked jobs.utdallas.edu/postings/32961, while the file lists /32958, so check the full posting. Sponsorship is not stated. UT Dallas is an R1 public university and is cap-exempt for H-1B, but that comes from general knowledge, not from this posting. OPT could cover the start.</t>
  </si>
  <si>
    <t xml:space="preserve">University of California, Santa Cruz</t>
  </si>
  <si>
    <t xml:space="preserve">Technology and Information Management Program: Adjunct Professor Pool (JPF02072)</t>
  </si>
  <si>
    <t xml:space="preserve">MIXED - choose the Fall 2027 start option; an earlier start needs CPT / pre-completion OPT</t>
  </si>
  <si>
    <t xml:space="preserve">https://recruit.ucsc.edu/JPF02072</t>
  </si>
  <si>
    <t xml:space="preserve">Technology and Information Management (TIM) Program</t>
  </si>
  <si>
    <t xml:space="preserve">Baskin School of Engineering</t>
  </si>
  <si>
    <t xml:space="preserve">Adjunct Assistant/Associate/Full Professor (non-tenure), pool</t>
  </si>
  <si>
    <t xml:space="preserve">Open date Jun 17, 2026. Review date Jul 17, 2026 has passed. Final date Apr 30, 2027, 11:59pm PT. Applications after the review date are considered only if the position is unfilled. The search found the live recruit.ucsc.edu/JPF02072 page and no sign it has closed. Appointments run from August 2026 through August 2027.</t>
  </si>
  <si>
    <t xml:space="preserve">Initial appointments effective August 2026 through August 2027</t>
  </si>
  <si>
    <t xml:space="preserve">The search results for JPF02072 showed no visa or sponsorship language: nothing found.</t>
  </si>
  <si>
    <t xml:space="preserve">The posting does not require industry experience. It says appointments in this series 'may be assigned to academic scholars currently affiliated with other universities or to qualified individuals who are professional practitioners of appropriate distinction'. It also stresses UCSC's close ties to Silicon Valley industry. That means practitioners are a recognized pool, but no number of years of experience is stated.</t>
  </si>
  <si>
    <t xml:space="preserve">The basic qualifications list was cut off in the search excerpts, so it could not be confirmed. A related UCSC CSE adjunct pool requires a PhD or equivalent, but that may not apply to TIM. Check recruit.ucsc.edu/JPF02072 for the exact requirements.</t>
  </si>
  <si>
    <t xml:space="preserve">TIM adjunct professor pool covering IS, data analytics and technology management, an IS-explicit program outside a business school, so 4. The candidate's IS teaching (cloud/IoT/Azure, IT Management, Python ML) matches. Risk: non-tenure, typically part-time, as needed.</t>
  </si>
  <si>
    <t xml:space="preserve">This is a non-tenure adjunct professor pool with as-needed, typically part-time appointments. The posting says it is aimed at academics who already hold jobs at other universities or at distinguished practitioners. It is a weak fit for an ABD candidate who needs H-1B sponsorship.</t>
  </si>
  <si>
    <t xml:space="preserve">University of California, Irvine</t>
  </si>
  <si>
    <t xml:space="preserve">Lecturer (Non-Senate) AY 26-27 (JPF10123)</t>
  </si>
  <si>
    <t xml:space="preserve">2027-05-06</t>
  </si>
  <si>
    <t xml:space="preserve">https://recruit.ap.uci.edu/JPF10123</t>
  </si>
  <si>
    <t xml:space="preserve">Multiple disciplines (Accounting, Information Systems, Marketing, Operations and Decision Technologies, etc.)</t>
  </si>
  <si>
    <t xml:space="preserve">The Paul Merage School of Business</t>
  </si>
  <si>
    <t xml:space="preserve">Lecturer (non-Senate, Unit 18)</t>
  </si>
  <si>
    <t xml:space="preserve">Final date: Thursday, May 6, 2027 at 11:59pm PT (AP Recruit JPF10123). Applications received after the review date are considered only if the position has not yet been filled. The Merage Lecturers page says the school is accepting applicants for temporary, full- or part-time Lecturers for AY 2026-27 in Information Systems and other areas.</t>
  </si>
  <si>
    <t xml:space="preserve">AY 2026-27, as needed (as early as July 1, 2026)</t>
  </si>
  <si>
    <t xml:space="preserve">nothing found. Neither the JPF10123 summary nor the Merage Lecturers page mentions visa sponsorship.</t>
  </si>
  <si>
    <t xml:space="preserve">No industry experience requirement appears in the search results or summaries for this lecturer pool.</t>
  </si>
  <si>
    <t xml:space="preserve">This is a non-Senate Lecturer pool (Unit 18) for temporary, as-needed appointments in AY 2026-27 (as early as July 1, 2026). Openings are full- or part-time and depend on teaching needs. Information Systems is one of several listed disciplines. Specific degree requirements were not shown in the results.</t>
  </si>
  <si>
    <t xml:space="preserve">The Merage lecturer pool explicitly lists Information Systems among its disciplines, so the IS slot is an IS lecturer position in a business school: 5 under the rule. The candidate's Connected Systems, IT Management and Python ML teaching fit. Risks: temporary, as-needed AY 2026-27 appointments in person in Irvine while the candidate is ABD.</t>
  </si>
  <si>
    <t xml:space="preserve">https://merage.uci.edu/employment/lecturers.html</t>
  </si>
  <si>
    <t xml:space="preserve">A pool for temporary, as-needed teaching, not a guaranteed full-time job. It covers AY 2026-27 only, which ends before the candidate's June 2027 PhD and OPT start. That makes it a poor match unless the school allows part-time CPT-based teaching while ABD. Sponsorship for temporary pool lecturers is not stated and is unlikely.</t>
  </si>
  <si>
    <t xml:space="preserve">Texas State University</t>
  </si>
  <si>
    <t xml:space="preserve">Nontenure Line Faculty Pool - Information Systems &amp; Analytics (posting 2027008NTL)</t>
  </si>
  <si>
    <t xml:space="preserve">2027-05-31</t>
  </si>
  <si>
    <t xml:space="preserve">https://jobs.hr.txstate.edu/postings/57741</t>
  </si>
  <si>
    <t xml:space="preserve">Information Systems &amp; Analytics</t>
  </si>
  <si>
    <t xml:space="preserve">McCoy College of Business</t>
  </si>
  <si>
    <t xml:space="preserve">Lecturer / temporary nontenure-line faculty (pool)</t>
  </si>
  <si>
    <t xml:space="preserve">Search results for posting 57741 / 2027008NTL show a full consideration date of 05/31/2027. Pool applications are taken on a rolling basis for Fall 2026, Spring 2027 and Fall 2027, with hires made as the department needs them. There is no hard close before 10/18/2026, so the posting is open now.</t>
  </si>
  <si>
    <t xml:space="preserve">Fall 2026 / Spring 2027 / Fall 2027 (as needed)</t>
  </si>
  <si>
    <t xml:space="preserve">Nothing found. None of the search results (TXST applicant portal, Chronicle, InsideHigherEd, AcademicJobs listings) mention visa sponsorship or work authorization.</t>
  </si>
  <si>
    <t xml:space="preserve">Industry or professional experience is not listed in the qualifications. The only preferred item is prior teaching experience.</t>
  </si>
  <si>
    <t xml:space="preserve">Generally a master's degree plus 18 graduate hours in the teaching field (IS/analytics); exact requirements vary by position. Prior teaching experience preferred. Temporary appointment of 1-4 courses per semester, depending on enrollment. Teaching may be in San Marcos, Round Rock, Dallas, Houston or online. Reappointment depends on annual performance review, funding and departmental need.</t>
  </si>
  <si>
    <t xml:space="preserve">Information Systems &amp; Analytics pool in McCoy College of Business, an IS non-tenure-line pool in a business school, so 5. The candidate's teaching (Connected Systems for Business, cloud/Azure; TA for Python ML for Business; IT Management labs) and interests in data analytics and AI in business fit IS&amp;A courses. Risk: temporary, 1-4 courses per semester, in person in San Marcos.</t>
  </si>
  <si>
    <t xml:space="preserve">https://jobs.hr.txstate.edu/postings/58294; https://jobs.hr.txstate.edu/postings/search</t>
  </si>
  <si>
    <t xml:space="preserve">This is a temporary, per-course pool, not a career-track job. It is unlikely to lead to H-1B sponsorship, and the posting says nothing about sponsorship. Post-completion OPT requires related work of at least 20 hours per week, so a load of 1-2 courses may not qualify. Only a heavier load would fit OPT, and that needs confirming with the DSO. Best treated as a stopgap or extra teaching experience, not a primary target. Applying is low-cost because the pool stays open until 05/31/2027.</t>
  </si>
  <si>
    <t xml:space="preserve">DePaul University</t>
  </si>
  <si>
    <t xml:space="preserve">Part Time Faculty School of Accountancy and MIS</t>
  </si>
  <si>
    <t xml:space="preserve">2027-06-30</t>
  </si>
  <si>
    <t xml:space="preserve">https://www.higheredjobs.com/faculty/details.cfm?JobCode=178958802&amp;Title=Part+Time+Faculty+School+of+Accountancy+and+MIS</t>
  </si>
  <si>
    <t xml:space="preserve">School of Accountancy &amp; MIS</t>
  </si>
  <si>
    <t xml:space="preserve">Driehaus College of Business</t>
  </si>
  <si>
    <t xml:space="preserve">Part-time faculty (adjunct pool)</t>
  </si>
  <si>
    <t xml:space="preserve">IL</t>
  </si>
  <si>
    <t xml:space="preserve">The Inside Higher Ed and HigherEdJobs listings (DePaul Job ID 47855) give a close date of June 30, 2027 for this rolling part-time pool. An older HERC copy with a June 30, 2026 close appears to be the previous pool. Applications are reviewed on a rolling basis while the pool is open.</t>
  </si>
  <si>
    <t xml:space="preserve">Per course, AY 2026-27 (rolling)</t>
  </si>
  <si>
    <t xml:space="preserve">Nothing found. The search turned up no visa or sponsorship language for this posting. The only sponsorship question it found was on a DePaul student scholarship (KPMG MADA), which has nothing to do with this job.</t>
  </si>
  <si>
    <t xml:space="preserve">The listing does not say industry experience is required. Pay of $5,000-$8,000 per course is 'commensurate with qualifications and experience', and a CPA is strongly preferred for Financial Accounting, Tax and Audit courses. That preference does not apply to MIS or analytics courses.</t>
  </si>
  <si>
    <t xml:space="preserve">A master's degree in a business-related field is the minimum. Applicants must live in the Chicago area and teach in person. Apply with a CV and cover letter.</t>
  </si>
  <si>
    <t xml:space="preserve">Part-time pool in the School of Accountancy &amp; MIS that lists MIS and Data Analytics specialties. IS adjunct pools score 5. Fit: Connected Systems and the ML for Business (Python) TA. Must live in the Chicago area and teach in person (UWM is nearby). $5-8K per course.</t>
  </si>
  <si>
    <t xml:space="preserve">https://careers.insidehighered.com/job/1903949/part-time-faculty-school-of-accountancy-and-mis; https://main.hercjobs.org/jobs/22080985/part-time-faculty-school-of-accountancy-and-mis</t>
  </si>
  <si>
    <t xml:space="preserve">This is a per-course adjunct pool, not a full-time job, so H-1B sponsorship is very unlikely. Post-completion OPT would cover it only after the PhD (June 2027), and per-course part-time teaching may not reach the 20 hours a week that OPT expects, which could count against unemployment days. It also requires living in Chicago. It is a weak fit for the candidate's sponsorship needs, and DePaul's own careers site should be checked before applying.</t>
  </si>
  <si>
    <t xml:space="preserve">University of California, Davis</t>
  </si>
  <si>
    <t xml:space="preserve">Lecturer, Master of Science in Business Analytics program 2026-2027 (JPF07773)</t>
  </si>
  <si>
    <t xml:space="preserve">https://recruit.ucdavis.edu/JPF07773</t>
  </si>
  <si>
    <t xml:space="preserve">Master of Science in Business Analytics (MSBA) program</t>
  </si>
  <si>
    <t xml:space="preserve">Graduate School of Management</t>
  </si>
  <si>
    <t xml:space="preserve">Lecturer (non-Senate, Unit 18), per-course</t>
  </si>
  <si>
    <t xml:space="preserve">The review date was Friday, Sep 4, 2026 at 11:59pm Pacific, and it has passed. The posting accepts applications until June 30, 2027. Applications received after the review date are considered only if the position is still unfilled. This is a rolling per-course lecturer pool for AY 2026-27.</t>
  </si>
  <si>
    <t xml:space="preserve">AY 2026-27, per course/quarter as needed</t>
  </si>
  <si>
    <t xml:space="preserve">Nothing found. Neither the search results nor the excerpt of the AP Recruit posting (recruit.ucdavis.edu/JPF07773) mentioned visa or H-1B sponsorship. The role is a part-time, temporary per-course lecturer appointment (non-Senate, Unit 18). Part-time temporary roles like this are generally a poor fit for H-1B, but the posting does not say so.</t>
  </si>
  <si>
    <t xml:space="preserve">Industry experience is not required. According to the item file's evidence from the posting summary, the basic qualification is either a master's degree in a relevant area OR 10+ years of relevant work experience, so work experience is only an alternative to the degree. Expertise in AI and in business analytics is required at the start of the appointment. The search did not surface the full qualifications text.</t>
  </si>
  <si>
    <t xml:space="preserve">Master's degree in a relevant area (or 10+ years of relevant work experience) and expertise in AI and business analytics at the start. Application materials: cover letter, CV/resume, evidence of teaching ability, Authorization to Release Information Form, and contact information for two references. Teaching is mostly in person in San Francisco.</t>
  </si>
  <si>
    <t xml:space="preserve">Business analytics / AI-in-business lecturer for the GSM MSBA program, a BA teaching line in a business school, so 4. The candidate's ML for Business (Python) TA work, LLM and multimodal methods and the candidate's AI-in-business teaching interests fit. Risks: per-course, part-time, in person in San Francisco during AY 2026-27 while the candidate is ABD.</t>
  </si>
  <si>
    <t xml:space="preserve">Lecturer pool JPF07773, filled per course or quarter as needed, with an estimated salary of $79,887-$153,069 (pro-rated for part-time). The appointment is part-time and temporary and is renewable based on departmental need and teaching excellence. Because it is part-time, it would probably need to be done under OPT. It is not a long-term sponsored position, so it is low priority for a candidate who needs H-1B. The PhD is expected June 2027, so OPT would not be available until after the degree is completed. Sponsorship is not stated, and the full posting text could not be fetched.</t>
  </si>
  <si>
    <t xml:space="preserve">Georgia State University</t>
  </si>
  <si>
    <t xml:space="preserve">Part-Time Computer Information Systems Instructor (applicant pool), Posting PTI00194P</t>
  </si>
  <si>
    <t xml:space="preserve">2027-07-31</t>
  </si>
  <si>
    <t xml:space="preserve">https://facultycareers.gsu.edu/postings/7383</t>
  </si>
  <si>
    <t xml:space="preserve">Perimeter College: Computer Information Systems discipline (Business)</t>
  </si>
  <si>
    <t xml:space="preserve">Perimeter College (GSU's associate-degree college), business/CIS discipline; not the J. Mack Robinson College of Business</t>
  </si>
  <si>
    <t xml:space="preserve">Part-time instructor (adjunct pool)</t>
  </si>
  <si>
    <t xml:space="preserve">Perimeter College takes part-time instructor applications on a continuous basis. HigherEdJobs and the portal show a close date of 07/31/2027, which is probably when the applicant pool closes. Chronicle lists the posting date as Sep 4, 2026. Official posting: facultycareers.gsu.edu/postings/7383.</t>
  </si>
  <si>
    <t xml:space="preserve">Rolling, as needed (AY 2026-27 / 2027 terms)</t>
  </si>
  <si>
    <t xml:space="preserve">nothing found. The HigherEdJobs and Chronicle listings and portal posting 7383 do not mention visa sponsorship or work authorization.</t>
  </si>
  <si>
    <t xml:space="preserve">No experience is required. The listing says teaching experience is a plus but not required.</t>
  </si>
  <si>
    <t xml:space="preserve">Master's degree with 18 graduate semester hours (27 quarter hours) in the teaching discipline. Ability to teach at the collegiate level and to work with diverse students. Must pass a criminal background check. Pay is $3,375 per 3-credit-hour course. Classes run mornings, afternoons, evenings and weekends.</t>
  </si>
  <si>
    <t xml:space="preserve">This is a CIS teaching line, so the field is a direct match. The candidate taught Intro to Connected Systems for Business (cloud, IoT, Azure labs) as instructor of record, TA'd Intro to IT Management labs for about 100 students and Machine Learning for Business in Python, and lists IS for business, Python for business and cloud among their teaching interests. The UWM Management Science (MIS) PhD coursework easily covers the 18 graduate hours. I scored it 4 rather than 5 because the home unit is GSU's two-year Perimeter College business/CIS discipline, not the Robinson College CIS department. Risks: pay is per course, there is no research role (so the ISR R&amp;R, MISQ submission and creator-economy and misinformation agenda bring no benefit), and the candidate is ABD until June 2027. This only makes sense as a bridge or supplemental-income option for someone near Atlanta.</t>
  </si>
  <si>
    <t xml:space="preserve">https://www.higheredjobs.com/faculty/details.cfm?JobCode=179548934; https://jobs.chronicle.com/job/38034029/part-time-computer-information-systems-instructor/</t>
  </si>
  <si>
    <t xml:space="preserve">This is an adjunct pool paid per course at Perimeter College, GSU's associate-degree college. H-1B sponsorship for this kind of role is unrealistic. A small per-course load probably will not reach the 20 hours a week that post-completion OPT needs. While the candidate is still on F-1 before the June 2027 PhD, teaching here would likely need CPT authorization. It is low priority, or a stopgap at best.</t>
  </si>
  <si>
    <t xml:space="preserve">The University of Alabama</t>
  </si>
  <si>
    <t xml:space="preserve">CCB - Tenure-Track Assistant Professor in Management Information Systems (MIS) - 530515</t>
  </si>
  <si>
    <t xml:space="preserve">https://careers.insidehighered.com/job/3548384/ccb-tenure-track-assistant-professor-in-management-information-systems-mis-530515/</t>
  </si>
  <si>
    <t xml:space="preserve">Information Systems, Statistics &amp; Management Science (ISSMS)</t>
  </si>
  <si>
    <t xml:space="preserve">Culverhouse College of Business</t>
  </si>
  <si>
    <t xml:space="preserve">The InsideHigherEd copy of UA requisition 530515 (advertised 04 Sep 2026) gives a closing date of 2027-08-01, according to the file evidence. My re-search found the posting on InsideHigherEd and Indeed, but the snippets did not show a deadline. A UA MIS posting from the previous cycle (527737) closed 01 Aug 2026, which fits the department's usual Aug-1 close pattern. The start date is Aug 16, 2027, and nothing suggests the posting has been withdrawn. Applying early is advisable because review usually begins well before the close.</t>
  </si>
  <si>
    <t xml:space="preserve">2027-08-16</t>
  </si>
  <si>
    <t xml:space="preserve">nothing found. The search results (InsideHigherEd, Indeed) do not mention visa or H-1B sponsorship or a work-authorization requirement for 530515.</t>
  </si>
  <si>
    <t xml:space="preserve">The posting describes teaching undergraduate and graduate MIS courses, high-impact research in journals on the Culverhouse journal list, and service. No industry or professional experience requirement was seen.</t>
  </si>
  <si>
    <t xml:space="preserve">The college wants a candidate whose teaching and research are centered on Generative AI (GAI). The current qualifications section was not visible in the results. Earlier UA MIS postings required a PhD in MIS or a related field completed before the start date, and this would need to be done by Aug 16, 2027. The candidate's expected June 2027 PhD fits that timing.</t>
  </si>
  <si>
    <t xml:space="preserve">MIS line in Culverhouse's ISSMS department, so 5. The GenAI emphasis matches the candidate's ML/LLM and multimodal methods and the candidate's teaching interest in AI in business. The candidate's ISR R&amp;R and MISQ submission are IS-core. Assistant TT, start 2027-08-16 fits a June 2027 PhD. Deadline 2027-08-01 (rolling).</t>
  </si>
  <si>
    <t xml:space="preserve">https://www.indeed.com/viewjob?jk=8f7224a5273b56fc; https://careers.ua.edu/jobs/search/culverhouse-college-of-business</t>
  </si>
  <si>
    <t xml:space="preserve">This is a strong fit, since the Culverhouse ISSMS tenure-track MIS role starts Aug 16, 2027. Sponsorship is not addressed, so the candidate should confirm with UA HR or the search chair. R1 tenure-track roles usually allow H-1B petitions, but that is not stated here. OPT could cover the start in the meantime.</t>
  </si>
  <si>
    <t xml:space="preserve">Technology and Information Management Program: Lecturer Pool (JPF02091)</t>
  </si>
  <si>
    <t xml:space="preserve">2027-08-06</t>
  </si>
  <si>
    <t xml:space="preserve">https://recruit.ucsc.edu/JPF02091</t>
  </si>
  <si>
    <t xml:space="preserve">Lecturer (pre-six, Unit 18 non-senate), pool</t>
  </si>
  <si>
    <t xml:space="preserve">Open date Jun 17, 2026. Review date Jul 17, 2026 has passed. Final date Aug 6, 2027, 11:59pm PT. Applications after the review date are considered only if the position is not yet filled. The search found the live recruit.ucsc.edu/JPF02091 page and no sign it has closed. This is a rolling pool that covers fall 2026 through fall 2027.</t>
  </si>
  <si>
    <t xml:space="preserve">Initial appointments from fall quarter 2026 through fall quarter 2027, depending on instructional need</t>
  </si>
  <si>
    <t xml:space="preserve">No visa or sponsorship language turned up for JPF02091. A HigherEdJobs copy of the posting says that 'internal candidates will be given priority consideration'.</t>
  </si>
  <si>
    <t xml:space="preserve">The basic qualifications are a degree plus teaching experience. Teaching experience can be shown through college-level teaching, TA work, research presentations or professional development training seminars. The search results did not mention industry experience.</t>
  </si>
  <si>
    <t xml:space="preserve">Required when you apply: an MBA or MS (or equivalent foreign degree) in CS, economics, EE, industrial and systems engineering, management, operations research, statistics or a closely related field. Also required: teaching experience, which TA work or research presentations can satisfy. Submit a CV and a cover letter. Pay is per course, about $9,986-$20,908 for a standard 5-credit course (HigherEdJobs copy).</t>
  </si>
  <si>
    <t xml:space="preserve">The Technology &amp; Information Management lecturer pool explicitly teaches information systems, data analytics and technology management. It works like an IS program, though it sits in an engineering school, so 4. The candidate's Connected Systems, IT Management and Python ML teaching fit TIM courses directly. Risks: per-course pool, low per-course pay, in person in Santa Cruz.</t>
  </si>
  <si>
    <t xml:space="preserve">https://engineering.ucsc.edu/departments/technology-and-information-management/</t>
  </si>
  <si>
    <t xml:space="preserve">This is a per-course, as-needed lecturer pool (Unit 18 non-senate), not a full-time line, so it is unlikely to support an H-1B petition. It could work for part-time teaching during OPT. Internal candidates get priority.</t>
  </si>
  <si>
    <t xml:space="preserve">American University</t>
  </si>
  <si>
    <t xml:space="preserve">KSB Adjunct Faculty - Information Technology &amp; Analytics (Open Continuous)</t>
  </si>
  <si>
    <t xml:space="preserve">job-board expiry (not a true deadline)</t>
  </si>
  <si>
    <t xml:space="preserve">2027-08-31</t>
  </si>
  <si>
    <t xml:space="preserve">https://american.wd1.myworkdayjobs.com/en-US/AU/job/KSB-Adjunct-Faculty---Information-Technology---Analytics--Open-Countinuous-_R1201</t>
  </si>
  <si>
    <t xml:space="preserve">Information Technology &amp; Analytics (IT&amp;A)</t>
  </si>
  <si>
    <t xml:space="preserve">Kogod School of Business</t>
  </si>
  <si>
    <t xml:space="preserve">Adjunct Professorial Lecturer</t>
  </si>
  <si>
    <t xml:space="preserve">DC</t>
  </si>
  <si>
    <t xml:space="preserve">This is an open-continuous adjunct pool that is filled as vacancies arise. Earlier evidence shows Workday requisition R1201 valid through 2027-08-31. The Workday listing still surfaces in search, and an Indeed copy shows it as open continuously. The closing date was not re-confirmed in this search.</t>
  </si>
  <si>
    <t xml:space="preserve">As needed (AY 2026-27 / AY 2027-28)</t>
  </si>
  <si>
    <t xml:space="preserve">Nothing found. The R1201 Workday posting, as summarized in search results, gives degree, teaching and background-check requirements but no visa or sponsorship language.</t>
  </si>
  <si>
    <t xml:space="preserve">Applicants should show ability in the subject areas taught. This 'can be demonstrated through a current job in the field or relevant licensure where applicable'. Practitioner experience is therefore valued but not strictly required.</t>
  </si>
  <si>
    <t xml:space="preserve">Master's degree in a related field from an AACSB-accredited institution is required, and doctorates are welcomed. Strong communication skills and commitment to teaching excellence are expected. Offers are contingent on a background check. The role is part-time with no pay listed.</t>
  </si>
  <si>
    <t xml:space="preserve">Part-time adjunct pool in Kogod's IT &amp; Analytics (IS) department. Part-time IS pools count as 5 under the rule. Draws on IT/analytics teaching (Connected Systems instructor of record; ML for Business TA). Rolling pool through 2027-08-31, so timing is flexible. Part-time pay only.</t>
  </si>
  <si>
    <t xml:space="preserve">Part-time adjunct pool covering MIS, IT consulting, management science, statistics and operations. Part-time adjunct roles are generally not H-1B-sponsored. Post-completion OPT requires at least 20 hours/week of qualifying employment, which a single adjunct course may not meet. This posting is a low priority for this candidate.</t>
  </si>
  <si>
    <t xml:space="preserve">Part Time Lecturer - JSOM Information Systems (Posting F01171P)</t>
  </si>
  <si>
    <t xml:space="preserve">https://jobs.utdallas.edu/postings/32668</t>
  </si>
  <si>
    <t xml:space="preserve">Part-time Lecturer</t>
  </si>
  <si>
    <t xml:space="preserve">Search results confirm the posting opened 09/10/2026 and closes 08/31/2027. It is a rolling part-time lecturer pool for AY 2026-27, reviewed as needed.</t>
  </si>
  <si>
    <t xml:space="preserve">AY 2026-27 terms as needed</t>
  </si>
  <si>
    <t xml:space="preserve">Nothing found. The search summary said no information on work authorization, visa sponsorship, or eligibility to work in the U.S. appeared in the results.</t>
  </si>
  <si>
    <t xml:space="preserve">From the posting, per the search: 'Seven or more years of relevant industry work experience preferred.'</t>
  </si>
  <si>
    <t xml:space="preserve">Minimum: 'An earned graduate degree appropriate to the academic discipline/topic and a record of productivity and professional achievement.' The degree must be in Information Systems, Statistics, Business Analytics, Mathematics, Computer Science or a closely related field. A critical-infrastructure security clause (Tex. Bus. &amp; Com. Code 117.001(2)) applies only to the extent the role involves critical infrastructure. The supplemental question asks for the highest earned degree.</t>
  </si>
  <si>
    <t xml:space="preserve">The user's labeled examples rate the UTD part-time JSOM IS lecturer as 5. IS/business analytics undergraduate classes and labs mirror the candidate's IT Management labs (about 100 students) and Connected Systems instructor-of-record work. Per-course part-time, open through Aug 2027.</t>
  </si>
  <si>
    <t xml:space="preserve">https://jobs.utdallas.edu/postings/search?commit=Search&amp;page=1&amp;query_position_type_id%5B%5D=2&amp;sort=434+asc; https://jobs.utdallas.edu/postings/search?query_position_type_id%5B%5D=2&amp;commit=Search</t>
  </si>
  <si>
    <t xml:space="preserve">This is a regular part-time, per-course pool paid monthly, with no expectation of renewal or tenure. It does not lead to sponsorship or long-term employment, and per-course part-time work may not meet F-1 OPT employment requirements. The pool covers AY 2026-27, but the candidate's OPT would start only after the June 2027 PhD. The candidate's lack of industry experience is a disadvantage, since 7+ years is preferred. The search linked jobs.utdallas.edu/postings/32786; the file lists /32668.</t>
  </si>
  <si>
    <t xml:space="preserve">University of Texas at Austin</t>
  </si>
  <si>
    <t xml:space="preserve">2026-27 Professional Track Faculty - IROM</t>
  </si>
  <si>
    <t xml:space="preserve">https://jobs.chronicle.com/job/38039773/2026-27-professional-track-faculty-irom/</t>
  </si>
  <si>
    <t xml:space="preserve">Information, Risk, &amp; Operations Management (IROM)</t>
  </si>
  <si>
    <t xml:space="preserve">McCombs School of Business</t>
  </si>
  <si>
    <t xml:space="preserve">Professional-track faculty pool (lecturer and clinical titles)</t>
  </si>
  <si>
    <t xml:space="preserve">Chronicle listing (jobs.chronicle.com/job/38039773): posted Sep 3, 2026 (one copy shows Sep 16, 2026). Apply by Aug 31, 2027. This is a rolling pool: people are hired as needed during AY 2026-27. Positions are not available every semester and depend on funding.</t>
  </si>
  <si>
    <t xml:space="preserve">AY 2026-27, as needed (pool runs through Aug 2027)</t>
  </si>
  <si>
    <t xml:space="preserve">nothing found. The search summary of the Chronicle listing does not mention visa sponsorship or work authorization. The excerpted qualifications section mentions neither.</t>
  </si>
  <si>
    <t xml:space="preserve">No industry or professional experience requirement appears in the listing. The qualifications focus on teaching potential.</t>
  </si>
  <si>
    <t xml:space="preserve">Minimum: a bachelor's degree in the field to be taught, potential for excellent undergraduate teaching, and strong communication skills. An advanced degree is preferred for senior and research titles in each series. Apply through Interfolio with a CV and three references whose letters stress your potential as a teacher. Hiring depends on funding.</t>
  </si>
  <si>
    <t xml:space="preserve">McCombs IROM is a combined unit with IS/information management as one of four areas, scored 4 in the learned rubric. The candidate would teach IS and analytics (cloud/IoT instructor of record, Python/ML TA). As-needed pool through Aug 2027, so the 2027-28 timing must be confirmed.</t>
  </si>
  <si>
    <t xml:space="preserve">https://jobs.chronicle.com/job/38039773/2026-27-professional-track-faculty-irom/?TrackID=10</t>
  </si>
  <si>
    <t xml:space="preserve">This is a non-tenure professional-track applicant pool, not a single job. It covers Lecturer and Clinical titles in all four IROM areas: Information Management, Decision Sciences, Statistics and Operations Management. I filed it as pool/adjunct, but titles hired from the pool can be full-time lecturer or clinical roles. The listing does not say full- or part-time. With no work-authorization restriction stated, the candidate could likely start on OPT. Whether UT would file an H-1B for a professional-track hire is unconfirmed. The PhD (expected June 2027) is not required at the minimum level, but it helps for senior or research titles. Sources: https://jobs.chronicle.com/job/38039773/2026-27-professional-track-faculty-irom/?TrackID=10</t>
  </si>
  <si>
    <t xml:space="preserve">Abilene Christian University</t>
  </si>
  <si>
    <t xml:space="preserve">Information Systems - Open Rank Tenure Track or College Faculty (also listed as 'Professor - Information Systems College Faculty or Tenure Track')</t>
  </si>
  <si>
    <t xml:space="preserve">open until filled</t>
  </si>
  <si>
    <t xml:space="preserve">https://www.sorce.jobs/jobs/information-systems-open-rank-tenure-track-or-college-faculty-acu-j1_dNadE8uIFSnXonoZpzLAelS3rzKqz2sjwpBl_DwxOmev1iGrFQ</t>
  </si>
  <si>
    <t xml:space="preserve">Department of Management Sciences (inferred: ACU's Management Sciences Department runs the IS major; the posting text seen does not name the department)</t>
  </si>
  <si>
    <t xml:space="preserve">College of Business Administration</t>
  </si>
  <si>
    <t xml:space="preserve">Open rank, tenure-track (Assistant/Associate/Full), or non-tenure-track 'College Faculty' (teaching), depending on experience and qualifications</t>
  </si>
  <si>
    <t xml:space="preserve">No closing date in the search results or in the listings already seen (HigherEdJobs JobCode 179363759, ZipRecruiter, Sorce, Teal). The listings are still live as of 2026-10-14. HigherEdJobs gives a schema 'valid through' of 2027-08-06, which is not an application deadline. Treat it as rolling and apply early. Related ACU business-school open-rank searches are for Fall 2027.</t>
  </si>
  <si>
    <t xml:space="preserve">Not stated (current cycle; ACU's parallel COBA open-rank searches are for Fall 2027)</t>
  </si>
  <si>
    <t xml:space="preserve">Nothing found. The search turned up nothing about visa sponsorship or work authorization in the HigherEdJobs, ZipRecruiter, Teal or Sorce listings. Ask ACU HR directly.</t>
  </si>
  <si>
    <t xml:space="preserve">The Information Systems listings do not mention industry or professional experience. Rank (open rank) depends on 'experience and qualifications'. A separate ACU Accounting open-rank posting (AAA career center) asks for 'a strong record of research and/or professional experience', but that is a different department.</t>
  </si>
  <si>
    <t xml:space="preserve">Dual track: open rank tenure-track (Assistant/Associate/Full) OR a non-tenure-track 'College Faculty' teaching appointment, depending on qualifications. Must be a professing Christian who supports ACU's Christian mission. Application needs academic letters of recommendation, a statement of spiritual journey and a statement on ACU's identity and mission. Teaching covers undergraduate and possibly graduate IS, data analytics, operations management and/or applied AI, in residential and online programs. Tenure-track faculty are expected to publish peer-reviewed research and mentor students. The terminal-degree timing (whether the PhD must be in hand by the start date) was not confirmed in the search results.</t>
  </si>
  <si>
    <t xml:space="preserve">IS line in COBA (Management Sciences dept runs the IS major). Covers IS, data analytics and applied AI for business, which matches the MIS PhD, ML/LLM methods, the AI-in-business teaching interest and the Connected Systems (cloud/IoT/Azure) instructor-of-record role. Open rank, with a College Faculty teaching route as a fallback for an ABD. Risks: applicants must be professing Christians, and the start date is not stated.</t>
  </si>
  <si>
    <t xml:space="preserve">https://www.ziprecruiter.com/c/Abilene-Christian-University/Job/Information-Systems-Open-Rank-Tenure-Track-or-College-Faculty/-in-Abilene,TX?jid=fe840bdf621e218a; https://www.higheredjobs.com/details.cfm?JobCode=179363759; https://www.tealhq.com/job/professor-information-systems-college-faculty-or-tenure-track_7ea1abe5801d0e061f1c5e0b2f2189f86e0f1; https://www.higheredjobs.com/faculty/details.cfm?JobCode=179363759</t>
  </si>
  <si>
    <t xml:space="preserve">Fits the MIS profile, and no industry experience appears to be required. Sponsorship is not addressed, so the candidate could start on OPT but should confirm H-1B support with HR. The faith requirement may be a barrier. A non-tenure 'College Faculty' version of the role is also possible. Sources: https://www.higheredjobs.com/faculty/details.cfm?JobCode=179363759 ; https://www.ziprecruiter.com/c/Abilene-Christian-University/Job/Information-Systems-Open-Rank-Tenure-Track-or-College-Faculty/-in-Abilene,TX?jid=fe840bdf621e218a ; https://www.tealhq.com/job/professor-information-systems-college-faculty-or-tenure-track_7ea1abe5801d0e061f1c5e0b2f2189f86e0f1</t>
  </si>
  <si>
    <t xml:space="preserve">Professorial Lecturer (Term Faculty), Information Technology &amp; Analytics</t>
  </si>
  <si>
    <t xml:space="preserve">https://jobs.phdproject.org/jobs/584887018-professorial-lecturer-at-american-university-kogod-school-of-business</t>
  </si>
  <si>
    <t xml:space="preserve">Professorial Lecturer (term, initial 1-year appointment, renewable)</t>
  </si>
  <si>
    <t xml:space="preserve">Review of applications begins immediately and continues until the position is filled, subject to budget approval. There is no fixed closing date. The PhD Project and Chronicle copies still appear in search results as of 2026-10-14, with no filled or closed notice. Starts Spring 2027.</t>
  </si>
  <si>
    <t xml:space="preserve">Spring 2027 (labelled AY 2026-27)</t>
  </si>
  <si>
    <t xml:space="preserve">Nothing found. The PhD Project and Chronicle copies of the posting, as returned by search, say nothing about visa sponsorship or work authorization. No official AU careers or HR copy with sponsorship language came up.</t>
  </si>
  <si>
    <t xml:space="preserve">The posting lists 'experience in business analytics, AI, or related fields' and teaching experience. It does not say that industry or professional experience is required. That experience could be academic.</t>
  </si>
  <si>
    <t xml:space="preserve">Ph.D., MBA, MS, or a related graduate or terminal degree. Experience in business analytics, AI, or related fields, plus teaching experience. Application: a cover letter on qualifications to teach business analytics/AI courses, CV, teaching evaluations if available, and 3 reference letters. Load is 6 courses per year. Base salary $100k-$150k.</t>
  </si>
  <si>
    <t xml:space="preserve">Kogod's IT &amp; Analytics department is its IS unit, so the learned rule gives 5 for any track. The analytics, AI and data-visualization teaching fits the TA role in ML for Business (Python), the AI-in-business and analytics interests, and the econometrics/ML toolkit. Risk: Spring 2027 start comes before the June 2027 PhD, so ask about a deferred start or ABD hire.</t>
  </si>
  <si>
    <t xml:space="preserve">https://jobs.chronicle.com/job/38030495/professorial-lecturer/?TrackID=10</t>
  </si>
  <si>
    <t xml:space="preserve">This is full-time term (non-tenure-track) faculty: an initial 1-year Professorial Lecturer appointment from Spring 2027, renewable. Because the posting is silent on sponsorship, OPT would cover the start, but H-1B would need to be confirmed with Kogod HR or the IT&amp;A search committee. Note that a Spring 2027 start comes before the candidate's expected June 2027 PhD completion, so post-completion OPT would not yet be available then. Start-date timing should be discussed.</t>
  </si>
  <si>
    <t xml:space="preserve">Appalachian State University</t>
  </si>
  <si>
    <t xml:space="preserve">Lecturer (Computer Information Systems), remote, Flight Path program, CIS 1060</t>
  </si>
  <si>
    <t xml:space="preserve">YES via OPT only - employer will not sponsor</t>
  </si>
  <si>
    <t xml:space="preserve">No - stated</t>
  </si>
  <si>
    <t xml:space="preserve">https://jobs.chronicle.com/job/38034229/lecturer/</t>
  </si>
  <si>
    <t xml:space="preserve">Walker College of Business</t>
  </si>
  <si>
    <t xml:space="preserve">Lecturer (full-time, non-tenure-track)</t>
  </si>
  <si>
    <t xml:space="preserve">NC</t>
  </si>
  <si>
    <t xml:space="preserve">Review of applications began 09/16/2026 and the posting stays open until filled. The proposed hire date is 01/01/2027. My search could not confirm a closing date or that the posting is still active, so check PeopleAdmin posting 56041 (position 0A1051).</t>
  </si>
  <si>
    <t xml:space="preserve">2027-01-01</t>
  </si>
  <si>
    <t xml:space="preserve">The search summary of PeopleAdmin posting 56041 says visa sponsorship is not available and that candidates must already be eligible to work and live in the U.S.</t>
  </si>
  <si>
    <t xml:space="preserve">Must already be authorized to work in US (no sponsorship)</t>
  </si>
  <si>
    <t xml:space="preserve">Accept on post-completion OPT (12 mo) + STEM OPT extension (24 mo, needs E-Verify employer + I-983 plan). No H-1B from this employer, so plan to move on before OPT ends.</t>
  </si>
  <si>
    <t xml:space="preserve">No industry experience is required. Spreadsheet analytics experience is preferred.</t>
  </si>
  <si>
    <t xml:space="preserve">The minimum is a master's degree in a business-related field. Preferred: a degree in CIS or a related field, prior higher-ed teaching, and spreadsheet analytics experience. The MOS Excel Associate 365 certification is preferred, or it must be earned within 60 days of hire. The role is remote and teaches CIS 1060 in 8-week terms using Canvas, GMetrix and Excel.</t>
  </si>
  <si>
    <t xml:space="preserve">CIS department in the Walker College of Business, so 5. Intro spreadsheet analytics (CIS 1060) fits the intro IS/IT labs (~100 students) and the IS-for-business teaching interest. Remote. Risk: 2027-01-01 start comes before the June 2027 PhD, though an ABD lecturer hire may be possible.</t>
  </si>
  <si>
    <t xml:space="preserve">https://jobs.chronicle.com/job/38034229/lecturer/?TrackID=10</t>
  </si>
  <si>
    <t xml:space="preserve">The posting says no sponsorship, and the job starts 01/01/2027, before the June 2027 PhD. Post-completion OPT would not cover that start date. The candidate can only take this job if they can work in the US without sponsorship at the start date. As a remote role it may also have to be performed inside the US.</t>
  </si>
  <si>
    <t xml:space="preserve">Lowe's Tech Distinguished Professor and Program Director in Cybersecurity</t>
  </si>
  <si>
    <t xml:space="preserve">YES - sponsorship stated</t>
  </si>
  <si>
    <t xml:space="preserve">Yes - stated</t>
  </si>
  <si>
    <t xml:space="preserve">https://jobs.chronicle.com/job/38027818/lowe-s-tech-distinguished-professor-and-program-director-in-cybersecurity/</t>
  </si>
  <si>
    <t xml:space="preserve">Distinguished Professor (endowed, tenured/tenure-track) plus Cybersecurity Program Director</t>
  </si>
  <si>
    <t xml:space="preserve">Review of applications began 08/24/2026 and the posting is open until filled. The proposed hire date is 01/01/2027. It is listed as PeopleAdmin posting 56357 (position 096741). No closing date was found.</t>
  </si>
  <si>
    <t xml:space="preserve">The search summary of the Chronicle and PeopleAdmin listings says "Visa sponsorship is available." I could not read the exact posting text myself.</t>
  </si>
  <si>
    <t xml:space="preserve">Start on OPT / STEM OPT, then university files H-1B (universities are H-1B cap-exempt: no lottery, any time of year).</t>
  </si>
  <si>
    <t xml:space="preserve">No industry experience is required. A cybersecurity professional certification (e.g., ISACA, ISC2) is listed as desired.</t>
  </si>
  <si>
    <t xml:space="preserve">Requires a PhD or other terminal degree (DBA, DSc) in IS, Cybersecurity or a related field from an AACSB or equivalent institution. The candidate must already hold the rank of full or associate professor. Also required: an active, internationally recognized cybersecurity research record and success securing grants. Desired: curriculum leadership and a distinguished record teaching cybersecurity.</t>
  </si>
  <si>
    <t xml:space="preserve">Cybersecurity line in the business school's CIS department. IS lines with a cybersecurity emphasis score 5 at any rank. Links: platform governance and misinformation research; cloud/IoT teaching. Rank risk: endowed Distinguished Professor plus program director, a far reach for an ABD. 2027-01-01 start.</t>
  </si>
  <si>
    <t xml:space="preserve">https://jobs.chronicle.com/job/38027818/lowe-s-tech-distinguished-professor-and-program-director-in-cybersecurity/?TrackID=10</t>
  </si>
  <si>
    <t xml:space="preserve">This is a senior endowed distinguished professorship that requires current associate or full professor rank and a degree already in hand. An ABD candidate expecting the PhD in June 2027 does not meet the minimum qualifications, so this is not a realistic fit despite the sponsorship.</t>
  </si>
  <si>
    <t xml:space="preserve">Ball State University</t>
  </si>
  <si>
    <t xml:space="preserve">Assistant Professor of Information Systems and Operations Management</t>
  </si>
  <si>
    <t xml:space="preserve">not stated</t>
  </si>
  <si>
    <t xml:space="preserve">https://jobs.chronicle.com/job/38043081/assistant-professor-of-information-systems-and-operations-management/</t>
  </si>
  <si>
    <t xml:space="preserve">Information Systems and Operations Management (ISOM)</t>
  </si>
  <si>
    <t xml:space="preserve">Miller College of Business</t>
  </si>
  <si>
    <t xml:space="preserve">No closing or review date appeared in the search results for the Chronicle listing (job 38043081, posted 2026-09-23) or the Workopia mirror. An earlier job-board lead gave 2026-10-28, but this search could not confirm it. Check the official Ball State HR posting. Because no deadline is confirmed, treat it as apply-soon.</t>
  </si>
  <si>
    <t xml:space="preserve">2027-08-02</t>
  </si>
  <si>
    <t xml:space="preserve">In the search result summary of the Chronicle listing, the visa sponsorship field says the employer 'will consider sponsorship'. It does not say which visa (for example, H-1B) and does not guarantee sponsorship. Confirm with the department or HR.</t>
  </si>
  <si>
    <t xml:space="preserve">The results show no industry or professional experience requirement. The minimum and preferred qualifications sections came back blank, and the duties cover only teaching and research.</t>
  </si>
  <si>
    <t xml:space="preserve">Full-time tenure-track role in the Miller College of Business, ISOM department, in Muncie, IN. Start date 2027-08-02; salary $130,000-$135,000. Teaching load is 9 semester hours each in fall and spring, in areas such as business analytics, networking, databases, cybersecurity and AI in business, with research expected in those fields. The listing names a cover letter, teaching evaluations and a teaching philosophy as preferred application materials. The degree requirement (for example, a PhD by the start date) did not show in the results, so check it on the full posting.</t>
  </si>
  <si>
    <t xml:space="preserve">ISOM department in the Miller College of Business, assistant tenure-track IS/BA line. Teaching on networking, cybersecurity and AI in business matches the Connected Systems (cloud/IoT/Azure) and ML for Business experience. Research pipeline (ISR R&amp;R, MISQ) fits. Deadline 2026-10-28 is urgent; Aug 2027 start.</t>
  </si>
  <si>
    <t xml:space="preserve">https://jobs.chronicle.com/job/38043081/assistant-professor-of-information-systems-and-operations-management/?TrackID=10; https://workopia.io/jobs/94a19bb54d94d1d1b68abcb0e8832b6f</t>
  </si>
  <si>
    <t xml:space="preserve">This is a good fit for an MIS PhD expected June 2027, since the August 2027 start comes after the degree date. Sponsorship is listed only as 'will consider'. No industry experience is needed. Sources: https://jobs.chronicle.com/job/38043081/assistant-professor-of-information-systems-and-operations-management/?TrackID=10 and https://workopia.io/jobs/94a19bb54d94d1d1b68abcb0e8832b6f</t>
  </si>
  <si>
    <t xml:space="preserve">Lecturer in Management Information Systems</t>
  </si>
  <si>
    <t xml:space="preserve">UNCERTAIN - one version of the posting requires 3 yrs IT industry experience; the Mar-2026 version requires a PhD instead. Ask the department which applies</t>
  </si>
  <si>
    <t xml:space="preserve">Uncertain (conflicting versions)</t>
  </si>
  <si>
    <t xml:space="preserve">https://binghamton.interviewexchange.com/jobofferdetails.jsp;jsessionid=D34EC62516DE87F3128274B8DE558D6E?JOBID=198532</t>
  </si>
  <si>
    <t xml:space="preserve">Management Information Systems area (reports to the Assistant Dean, School of Management)</t>
  </si>
  <si>
    <t xml:space="preserve">Lecturer</t>
  </si>
  <si>
    <t xml:space="preserve">Official posting JOBID 198532 shows 'Posted: Mar 25, 2026, Closes: Open Until Filled'. No review date or start date was found. It was still listed on the Provost Faculty Vacancies page around Sep 8, 2026, but it has been open about 7 months and may already be filled.</t>
  </si>
  <si>
    <t xml:space="preserve">Nothing found in the posting copies. Binghamton HR's general H-1B guidance says sponsorship may be available for tenure-track positions, which suggests non-tenure lecturer lines may not be eligible. This is an inference and is not stated in the posting.</t>
  </si>
  <si>
    <t xml:space="preserve">Search results show conflicting versions. One version lists a minimum of a master's in MIS or a related field plus at least 3 years of professional experience in IT, systems management or a related industry role. Another version, dated Mar 2026, lists a PhD in MIS or related as the minimum and adds an industry-recognized professional certification relevant to MIS, which appears to be preferred. The candidate has no industry experience, so this is a risk if the 3-year requirement applies.</t>
  </si>
  <si>
    <t xml:space="preserve">The role is full-time and non-tenure-track with a 4+4 teaching load and SUNY UUP salary/benefits. Requirements include a record of collegiate teaching excellence, experience teaching large classes (125+ students), and experience teaching online or hybrid. Courses cover MIS foundations, strategic implementation and emerging technology.</t>
  </si>
  <si>
    <t xml:space="preserve">MIS lecturer in the School of Management, so 5 under the learned rule. Emerging-technology and systems teaching matches Connected Systems (cloud/IoT) and the intro IT Management labs. The 4+4 load is heavy, and the start date is not stated.</t>
  </si>
  <si>
    <t xml:space="preserve">https://careers.insidehighered.com/job/3482787/lecturer-in-management-information-systems/; https://jobs.chronicle.com/job/37967904/lecturer-in-management-information-systems/; https://www.binghamton.edu/academics/provost/faculty-resources/employment.html</t>
  </si>
  <si>
    <t xml:space="preserve">This is a weak fit: it is non-tenure, may require 3+ years of industry experience, and asks for large-class and online teaching experience. Sponsorship is not stated. The candidate could only start on OPT, and there is no H-1B commitment. Verify the current requirements on Interview Exchange before applying.</t>
  </si>
  <si>
    <t xml:space="preserve">California State University, Fullerton</t>
  </si>
  <si>
    <t xml:space="preserve">Information Systems and Decision Sciences - Part-Time Lecturer Pool</t>
  </si>
  <si>
    <t xml:space="preserve">Not this posting - you applied to California State University, Fullerton on 2026-08-30 for another line; confirm if you also want this one</t>
  </si>
  <si>
    <t xml:space="preserve">https://csucareers.calstate.edu/en-us/job/559035/information-systems-and-decision-sciences-parttime-lecturer-pool</t>
  </si>
  <si>
    <t xml:space="preserve">Information Systems and Decision Sciences</t>
  </si>
  <si>
    <t xml:space="preserve">Mihaylo College of Business and Economics</t>
  </si>
  <si>
    <t xml:space="preserve">Lecturer (part-time pool)</t>
  </si>
  <si>
    <t xml:space="preserve">Rolling part-time pool on CSU Careers (job 559035), advertised 2026-06-10 with a blank close date. The search did not return a closing date. Appointments are temporary and made as needed by semester, often shortly before a term starts. There is no fixed deadline before 10/18/2026, but applying early helps for Spring 2027 staffing.</t>
  </si>
  <si>
    <t xml:space="preserve">As needed (AY 2026-27 terms onward)</t>
  </si>
  <si>
    <t xml:space="preserve">Nothing found. The search results for the ISDS posting (CSU Careers, HigherEdJobs, CareersInGovernment) say nothing about visa or H-1B sponsorship, and the search summary confirms that sponsorship is not addressed. Because this is a temporary, as-needed part-time pool, H-1B sponsorship is unlikely in practice, but that is an inference, not something the posting says. Confirm with CSUF HR.</t>
  </si>
  <si>
    <t xml:space="preserve">The posting does not explicitly require industry experience. Its required qualifications include 'relevant experience in a related quantitative or computational field' and demonstrated competency with course tools: SQL, Python/R, Tableau/Power BI, Excel modeling, and systems analysis and design. A candidate may be able to meet this through research or teaching experience. Another CSU 'Information Systems' lecturer pool (job 555366) lists industry or teaching experience and gives preference to relevant work experience, but it is a separate posting, and the search did not confirm it as this CSUF ISDS pool.</t>
  </si>
  <si>
    <t xml:space="preserve">Master's degree in MIS, operations research, statistics, business analytics, data science, or a related field, from an accredited institution or a foreign equivalent. A PhD is not required. Also required: demonstrated competency with SQL, Python/R, Tableau/Power BI, Excel modeling, and systems analysis and design, plus the ability to work effectively with diverse and first-generation students. Application materials are a CV and syllabi. Applicants should be available on short notice.</t>
  </si>
  <si>
    <t xml:space="preserve">Part-time pool in Mihaylo's ISDS department. IS adjunct pools score 5. Teaching MIS, business analytics and IT matches Connected Systems and the ML for Business TA role; MSIS/MBA courses are possible. As-needed semester appointments.</t>
  </si>
  <si>
    <t xml:space="preserve">https://www.higheredjobs.com/faculty/details.cfm?JobCode=179469330; https://www.careersingovernment.com/job/1511600/information-systems-and-decision-sciences-part-time-lecturer-pool/; https://careers.pageuppeople.com/873/fl/en-us/job/559035/information-systems-and-decision-sciences-parttime-lecturer-pooljeid-11c507c3f6cdc14490aa97732c14ceb5</t>
  </si>
  <si>
    <t xml:space="preserve">This is a part-time, temporary, as-needed pool, not a career-track job, and it fits the candidate's MIS/analytics background. Sponsorship is not stated and is unlikely for part-time pool appointments. While enrolled through June 2027, any work would need F-1 authorization such as CPT. After graduation, post-completion OPT could cover it, but OPT work must be related to the degree, and fewer than 20 hours a week may count toward unemployment days. That makes it a short-term OPT option, not a sponsored long-term job. Sources: https://www.careersingovernment.com/job/1511600/information-systems-and-decision-sciences-part-time-lecturer-pool/ ; https://www.higheredjobs.com/faculty/details.cfm?JobCode=179469330 ; https://csucareers.calstate.edu/en-us/job/548577/information-systems-and-decision-sciences-parttime-lecturer-pool</t>
  </si>
  <si>
    <t xml:space="preserve">California State University, Long Beach</t>
  </si>
  <si>
    <t xml:space="preserve">Part-Time Lecturer Pool (PD 26-27) - Information Systems</t>
  </si>
  <si>
    <t xml:space="preserve">Not this posting - you applied to California State University, Long Beach on 2026-08-29 for another line; confirm if you also want this one</t>
  </si>
  <si>
    <t xml:space="preserve">https://www.csulb.edu/college-of-business/office-of-the-dean/job-opportunities</t>
  </si>
  <si>
    <t xml:space="preserve">Department of Information Systems, College of Business</t>
  </si>
  <si>
    <t xml:space="preserve">Part-time Lecturer (pool)</t>
  </si>
  <si>
    <t xml:space="preserve">This is a rolling AY 2026-27 part-time lecturer pool. The October 14, 2026 search returned no CSULB-specific posting, so no closing date was confirmed. The input file says the CSULB College of Business Job Opportunities page lists 'PD 26-27-INFORMATION SYSTEMS', and nothing seen shows the pool has closed. The search did return a 2026-27 Information Systems lecturer pool on CSU Careers (job 555366, closed April 15, 2026), but that appears to be Cal State LA, not CSULB.</t>
  </si>
  <si>
    <t xml:space="preserve">AY 2026-27, as needed (Spring 2027 is the earliest realistic term for this candidate). Not stated in the results.</t>
  </si>
  <si>
    <t xml:space="preserve">Nothing found. The search returned no CSULB posting text on visa sponsorship. Similar CSU lecturer pools in the results (Cal State LA, CSU San Marcos) also say nothing about visa sponsorship. CSU San Marcos says only that working in the State of California is a condition of employment.</t>
  </si>
  <si>
    <t xml:space="preserve">The search showed no industry-experience language for the CSULB pool. A comparable CSU Information Systems lecturer pool (Cal State LA) lists only degree requirements and a preferred IS/IT certification, with no industry experience requirement.</t>
  </si>
  <si>
    <t xml:space="preserve">Not confirmed for CSULB, because the posting PDF was not retrieved. Comparable CSU IS lecturer pools require at least a master's degree in IS or a closely related computing field, or an MBA with an IS concentration. They also ask applicants with foreign degrees for a certified English evaluation showing the degree is equivalent to a U.S. degree.</t>
  </si>
  <si>
    <t xml:space="preserve">This is an IS lecturer pool in the business school's Information Systems department, which scores 5 under the rule that IS/MIS positions in business schools are all 5. Part-time adjunct pool status does not lower the score (compare the UT Dallas part-time IS lecturer and Colorado State CIS adjunct pool examples). Teaching fit: the candidate was instructor of record for Intro to Connected Systems for Business (cloud, IoT, Azure labs), TA'd Machine Learning for Business (Python) and ran Intro to IT Management labs (~100 students). Interests in Python for business, IS for business, cloud, ML/data analytics and social media analytics match typical CSULB IS undergraduate courses. Risks: this is a part-time, per-course, non-tenure-track role with no research support, and it is in Long Beach, CA. The candidate is ABD until June 2027, so realistic use is Spring 2027 (or remote/onsite timing permitting) or as a fallback alongside the CSULB tenure-track IS search (posting 902), which is a separate listing.</t>
  </si>
  <si>
    <t xml:space="preserve">Official listing / portal page - search for the title there</t>
  </si>
  <si>
    <t xml:space="preserve">https://www.csulb.edu/college-of-business/information-systems</t>
  </si>
  <si>
    <t xml:space="preserve">Fit concern: this is a part-time, as-needed pool for AY 2026-27 (roughly Aug 2026 to May 2027). The candidate's PhD and post-completion OPT do not start until about June 2027, so any assignment this year would need CPT authorization from the candidate's own school. Part-time CSU lecturer pools are generally not a route to H-1B sponsorship, and none was stated here. Under OPT, a part-time load below 20 hours/week may not count as qualifying employment. Apply only through the CSULB College of Business Job Opportunities page (https://www.csulb.edu/college-of-business/office-of-the-dean/job-opportunities). Low priority for a long-term, sponsored position.</t>
  </si>
  <si>
    <t xml:space="preserve">California State University, Los Angeles</t>
  </si>
  <si>
    <t xml:space="preserve">2026-27 AY Lecturer Pool - Information Systems</t>
  </si>
  <si>
    <t xml:space="preserve">https://csucareers.calstate.edu/en-us/job/555366/202627-ay-lecturer-pool-information-systems</t>
  </si>
  <si>
    <t xml:space="preserve">Department of Information Systems</t>
  </si>
  <si>
    <t xml:space="preserve">College of Business and Economics</t>
  </si>
  <si>
    <t xml:space="preserve">Lecturer (part-time, temporary pool)</t>
  </si>
  <si>
    <t xml:space="preserve">The posting (CSU Careers job 555366, HigherEdJobs 179404639) asks for complete applications by April 15, 2026 for full consideration and says later applications may still be considered. It is a rolling part-time pool for AY 2026-27. The listing still appeared in search results on 2026-10-14, so late applications are probably still accepted. Pay is $5,507-$15,211 per semester.</t>
  </si>
  <si>
    <t xml:space="preserve">AY 2026-27 (semester by semester, as needed)</t>
  </si>
  <si>
    <t xml:space="preserve">nothing found. The search results for the posting do not mention visa or H-1B sponsorship or work authorization. Part-time temporary pool lecturer jobs are rarely sponsored.</t>
  </si>
  <si>
    <t xml:space="preserve">The search results and the earlier evidence do not mention any industry or professional experience requirement. The minimum is an academic degree.</t>
  </si>
  <si>
    <t xml:space="preserve">Minimum qualification is a master's in Information Systems or a closely related computing field, or an MBA with an IS concentration (from earlier evidence). A foreign degree needs a certified evaluation in English confirming it is equivalent to a U.S. degree. Applicants are hired semester by semester as needed.</t>
  </si>
  <si>
    <t xml:space="preserve">Part-time pool in the IS department (business college), so 5. Cybersecurity, data analytics, big data and networks courses match Connected Systems (cloud/IoT/Azure labs) and the Python analytics teaching. Semester-by-semester, part-time only.</t>
  </si>
  <si>
    <t xml:space="preserve">https://www.higheredjobs.com/faculty/details.cfm?JobCode=179404639; https://www.calstatela.edu/academic/position</t>
  </si>
  <si>
    <t xml:space="preserve">This is a part-time adjunct pool for AY 2026-27, not a full-time line, and it will not lead to H-1B. The candidate finishes the PhD in June 2027, so post-completion OPT would not start until after most of this academic year. Teaching before then would need CPT. Post-completion OPT employment must also be at least 20 hours per week and related to the degree, and part-time semester loads may not meet that. Low fit for a long-term job that needs sponsorship. Sources: https://csucareers.calstate.edu/en-us/job/555366/202627-ay-lecturer-pool-information-systems ; https://www.higheredjobs.com/faculty/details.cfm?JobCode=179404639 ; https://www.careersingovernment.com/job/968752/2026-27-ay-lecturer-pool-information-systems/</t>
  </si>
  <si>
    <t xml:space="preserve">Chapman University</t>
  </si>
  <si>
    <t xml:space="preserve">Assistant Professor of Management Science, Tenure-Track, Fall 2027</t>
  </si>
  <si>
    <t xml:space="preserve">https://jobs.chronicle.com/job/38045010/assistant-professor-of-management-science-tenure-track-fall-2027/</t>
  </si>
  <si>
    <t xml:space="preserve">Management Science</t>
  </si>
  <si>
    <t xml:space="preserve">Argyros College of Business and Economics</t>
  </si>
  <si>
    <t xml:space="preserve">No fixed deadline. Posted 2026-09-17 on the Chronicle and Chapman's Interfolio (apply.interfolio.com/44328), where the deadline column is blank; earlier evidence said review is rolling until filled. Start date is 2027-08-01. Applying soon is advisable because review is rolling.</t>
  </si>
  <si>
    <t xml:space="preserve">nothing found. The search results (the Chronicle listing and the Interfolio open-positions page) did not mention visa or H-1B sponsorship either way.</t>
  </si>
  <si>
    <t xml:space="preserve">No industry or professional experience requirement appeared in the results. It is a research-focused tenure-track role with a reduced teaching load, a summer research stipend and a discretionary research budget.</t>
  </si>
  <si>
    <t xml:space="preserve">The 2027 qualifications text did not appear in the results. Chapman's earlier Management Science tenure-track postings (2020/2021) required the doctorate by the August 1 start and showed potential to publish in business journals. A PhD by 2027-08-01 is likely required, which fits the candidate's expected June 2027 defense.</t>
  </si>
  <si>
    <t xml:space="preserve">Business-school Management Science line that explicitly invites IS and the economics of digitization, with an AI interest. It is an IS-inclusive unit, mirroring the candidate's own Management Science (MIS) PhD and IS-economics/creator-economy work with ML/LLM methods. 2027-08-01 start fits.</t>
  </si>
  <si>
    <t xml:space="preserve">https://apply.interfolio.com/44328/positions</t>
  </si>
  <si>
    <t xml:space="preserve">Tenure-track Assistant Professor of Management Science at the Argyros College of Business and Economics, Orange CA. A good fit for an MIS/Management Science PhD with no industry experience. Sponsorship isn't stated, so confirm with the search chair or HR. Post-completion OPT (and possibly STEM OPT) could cover the start while H-1B is pursued; as a university, Chapman is cap-exempt for H-1B. Sources: https://jobs.chronicle.com/job/38045010/assistant-professor-of-management-science-tenure-track-fall-2027/ ; https://apply.interfolio.com/44328/positions</t>
  </si>
  <si>
    <t xml:space="preserve">Cleveland State University</t>
  </si>
  <si>
    <t xml:space="preserve">Part-Time Single Term Instructor - Information Systems (applicant pool)</t>
  </si>
  <si>
    <t xml:space="preserve">https://hrjobs.csuohio.edu/postings/19956</t>
  </si>
  <si>
    <t xml:space="preserve">unclear</t>
  </si>
  <si>
    <t xml:space="preserve">Information Systems</t>
  </si>
  <si>
    <t xml:space="preserve">Monte Ahuja College of Business</t>
  </si>
  <si>
    <t xml:space="preserve">Part-time single-term instructor (adjunct)</t>
  </si>
  <si>
    <t xml:space="preserve">Continuous applicant-pool posting (hrjobs.csuohio.edu/postings/19956). It shows no close date. The portal reports the posting is about 1,248 days old, which puts it around mid-2023. Search results do not say whether it still accepts applications, and it may have been closed or replaced. Confirm on the CSU portal or with Dr. Arndt, Chair of Information Systems.</t>
  </si>
  <si>
    <t xml:space="preserve">Not stated (as-needed single-term assignments; current terms would be Spring 2027 / AY 2026-27)</t>
  </si>
  <si>
    <t xml:space="preserve">nothing found. The posting text in the search results lists qualifications, application materials and terms, but says nothing about visa sponsorship or work authorization.</t>
  </si>
  <si>
    <t xml:space="preserve">Industry experience is not required. The minimum is a master's degree in Information Systems or a related field. The posting adds that professional experience may substitute for the degree only 'in rare cases' where academically justified. The Preferred qualifications section is empty.</t>
  </si>
  <si>
    <t xml:space="preserve">Master's degree in Information Systems or a related field (minimum). Apply with a cover letter addressing the qualifications, a CV, and names and contact details for two references. Applications are accepted online only. Service does not accrue tenure rights. Teaching is capped at 9 credit hours per semester.</t>
  </si>
  <si>
    <t xml:space="preserve">IS department pool in the Monte Ahuja College of Business. IS adjunct pools score 5. Undergraduate and graduate IS courses match Connected Systems and the IT Management labs. On-site in Cleveland; per-term, part-time.</t>
  </si>
  <si>
    <t xml:space="preserve">https://hrjobs.csuohio.edu/postings/search?commit=Search&amp;page=1&amp;query_position_type_id%5B%5D=2&amp;sort=227+asc; https://hrjobs.csuohio.edu/; https://business.csuohio.edu/information-systems/full-time-faculty; https://hrjobs.csuohio.edu/postings/search?query=&amp;query_v0_posted_at_date=&amp;query_position_type_id%5B%5D=2&amp;435=&amp;commit=Search</t>
  </si>
  <si>
    <t xml:space="preserve">Part-time, single-term adjunct POOL with as-needed assignments, on-site in Cleveland, OH. It is not a full-time faculty job and offers no realistic path to H-1B sponsorship. Teaching could in principle be done on post-PhD OPT, but OPT work generally has to be at least 20 hrs/week and in the degree field, so a light adjunct load may not qualify. The posting is about 3.4 years old and its status is uncertain. Low priority for this candidate. Source: https://hrjobs.csuohio.edu/postings/19956</t>
  </si>
  <si>
    <t xml:space="preserve">Duquesne University</t>
  </si>
  <si>
    <t xml:space="preserve">Adjunct - Information Systems and Technology</t>
  </si>
  <si>
    <t xml:space="preserve">https://www.higheredjobs.com/faculty/details.cfm?JobCode=179383349</t>
  </si>
  <si>
    <t xml:space="preserve">Accounting, Information Systems &amp; Technology, and Supply Chain Management (Information Systems and Technology program)</t>
  </si>
  <si>
    <t xml:space="preserve">Palumbo-Donahue School of Business</t>
  </si>
  <si>
    <t xml:space="preserve">Adjunct Faculty (part-time pool)</t>
  </si>
  <si>
    <t xml:space="preserve">No closing date stated. Interfolio (apply.interfolio.com/11181) lists the role as opened Mar 6, 2026 and leaves the deadline blank; HercJobs shows it posted Mar 7, 2026. The HigherEdJobs listing expires 2027-08-28 (validThrough). This looks like a rolling pool, but the search could not confirm it is still active today.</t>
  </si>
  <si>
    <t xml:space="preserve">Not stated (as-needed per-course teaching, AY 2026-27 through Aug 2027)</t>
  </si>
  <si>
    <t xml:space="preserve">Nothing found. The search returned nothing on visa or H-1B sponsorship for this adjunct posting on the Interfolio, HigherEdJobs or HercJobs copies.</t>
  </si>
  <si>
    <t xml:space="preserve">Not required. Preferred: college teaching experience, or as an alternative, experience 'training, presenting, or mentoring in professional settings'. Also preferred: experience with AI/ML tools, cloud platforms, ERP systems or cybersecurity frameworks. A candidate with no industry experience can meet the teaching-experience preference instead.</t>
  </si>
  <si>
    <t xml:space="preserve">Minimum: earned master's degree in a business discipline, plus strong interpersonal and communication skills and enthusiasm for working with students. Teaching areas: AI/ML for business, Python, data management and cloud data engineering, cybersecurity and digital forensics, business analytics, systems analysis and agile methods, ERP and process automation. Courses at graduate and undergraduate level.</t>
  </si>
  <si>
    <t xml:space="preserve">IS &amp; Technology adjunct pool in the business school, so 5. Python, data management, AI/ML and cloud courses match the Python ML for Business TA role and the Azure/cloud Connected Systems instruction. Rolling, per course.</t>
  </si>
  <si>
    <t xml:space="preserve">https://main.hercjobs.org/jobs/22099834/adjunct-information-systems-and-technology; https://apply.interfolio.com/11181/positions</t>
  </si>
  <si>
    <t xml:space="preserve">This is a per-course adjunct pool, not a full-time faculty line, so H-1B sponsorship is unlikely for it. On F-1 before the June 2027 PhD, off-campus teaching would need CPT. After the degree, post-completion OPT requires at least 20 hours a week of degree-related work, which a single course may not reach. The candidate's MS/PhD in Management Science (MIS) should count as a business-discipline master's or higher. Sources: https://www.higheredjobs.com/faculty/details.cfm?JobCode=179383349 ; https://main.hercjobs.org/jobs/22099834/adjunct-information-systems-and-technology ; https://apply.interfolio.com/11181/positions</t>
  </si>
  <si>
    <t xml:space="preserve">Hampton University</t>
  </si>
  <si>
    <t xml:space="preserve">Management Information Systems (MIS) Professor</t>
  </si>
  <si>
    <t xml:space="preserve">CHECK - posting start date is garbled ("Spring 2026"); ask whether a Fall 2027 start is possible</t>
  </si>
  <si>
    <t xml:space="preserve">https://home.hamptonu.edu/hr/2026/05/29/management-information-systems-mis-professor-department-of-business-administration-and-accounting/</t>
  </si>
  <si>
    <t xml:space="preserve">Department of Business Administration and Accounting</t>
  </si>
  <si>
    <t xml:space="preserve">JTG School of Business</t>
  </si>
  <si>
    <t xml:space="preserve">Assistant Professor (Chronicle text: 'seeking an Assistant Professor in MIS'); tenure status not stated</t>
  </si>
  <si>
    <t xml:space="preserve">Review of applications begins immediately and continues until the position is filled; there is no fixed closing date. The official Hampton HR post (URL dated 2026/05/29) and Chronicle listing 37995070 (posted Jun 1, 2026) both still show up in search on 2026-10-14. Neither result says the position is closed. The Chronicle ad's 'valid through 2026-08-02' date looks like the ad's run date, not a deadline.</t>
  </si>
  <si>
    <t xml:space="preserve">The posting text says 'Spring 2026', which is impossible for an ad posted in May/June 2026. It is most likely Spring 2027 (January 2027). Not confirmed.</t>
  </si>
  <si>
    <t xml:space="preserve">nothing found. Neither the Hampton HR posting nor the Chronicle listing mentions visa sponsorship or work authorization.</t>
  </si>
  <si>
    <t xml:space="preserve">No industry or professional experience requirement appears. The duties include keeping course materials current with industry standards, which is not an experience requirement.</t>
  </si>
  <si>
    <t xml:space="preserve">HR posting: PhD in Information Systems, MIS, IT, Computer Information Systems or a closely related field from an accredited institution, AND an MBA from an accredited institution. It also asks for demonstrated collegiate teaching ability and strong communication skills. The Chronicle version lists only an MBA as the minimum qualification. Teaching covers undergraduate and graduate courses such as business analytics, data management, and systems analysis and design. Salary is $60,000-$70,000.</t>
  </si>
  <si>
    <t xml:space="preserve">Assistant Professor in MIS at the JTG School of Business, so 5. Fits the MIS PhD, IT Management lab and Connected Systems teaching. Risks: start is likely Spring 2027, before the June 2027 PhD; tenure status not stated; low salary ($60-70K).</t>
  </si>
  <si>
    <t xml:space="preserve">https://jobs.chronicle.com/job/37995070/management-information-systems-mis-professor-department-of-business-administration-and/; https://home.hamptonu.edu/hr/posts-faculty/</t>
  </si>
  <si>
    <t xml:space="preserve">The Chronicle text describes the job as 'an Assistant Professor in MIS'. Tenure status is not stated, so the tenure-track classification is assumed from the rank. The start term is given as 'Spring 2026', which is impossible for a June 2026 ad, so it is likely Spring 2027. Your PhD (expected June 2027) would not be finished by then, and the HR posting may also require an MBA. Ask HR about the start date, the MBA requirement and sponsorship before applying.</t>
  </si>
  <si>
    <t xml:space="preserve">North Carolina A&amp;T State University</t>
  </si>
  <si>
    <t xml:space="preserve">Assistant/Associate Professor - Business Information Systems and Analytics (Position 001506, posting EPA3220)</t>
  </si>
  <si>
    <t xml:space="preserve">https://jobs.chronicle.com/job/38045022/assistant-associate-professor-business-information-systems-and-analytics/</t>
  </si>
  <si>
    <t xml:space="preserve">Business Information Systems and Analytics (BISA)</t>
  </si>
  <si>
    <t xml:space="preserve">Willie A. Deese College of Business and Economics</t>
  </si>
  <si>
    <t xml:space="preserve">Assistant or Associate Professor (tenure-track)</t>
  </si>
  <si>
    <t xml:space="preserve">The NCAT portal and the Chronicle listing show an open date of 09/28/2026 and 'Open Until Filled', with the position available August 2027. No fixed closing or priority date appeared in the results. The HigherEdJobs copy (JobCode 179300607) reportedly expires in May 2027. Because review usually starts when applications arrive, apply early.</t>
  </si>
  <si>
    <t xml:space="preserve">August 2027 (Fall 2027), per the Chronicle listing</t>
  </si>
  <si>
    <t xml:space="preserve">Nothing found. The search summary says no result covered this posting's visa policy, and the posting text lists none. The only sponsorship statement in the results came from an unrelated Appalachian State listing.</t>
  </si>
  <si>
    <t xml:space="preserve">The search summary says 'industry experience and certifications are desirable', next to research potential and publications. It is not listed as required. That wording may come from an earlier (2022, AISWorld) version of the same BISA posting.</t>
  </si>
  <si>
    <t xml:space="preserve">An earned doctorate is required at the time of appointment, from an AACSB-accredited institution, in business/data analytics, decision sciences, information systems or technology, industrial engineering, statistics, computer science, or a closely related field. Applicants should show potential for a research record (refereed journals, conferences). The role is a 9-month, 40 hr/week tenure-track line teaching business analytics, IS and IT. An ABD candidate finishing in June 2027 can meet this before the August 2027 start.</t>
  </si>
  <si>
    <t xml:space="preserve">Business Information Systems &amp; Analytics TT line: direct match to the candidate's MIS PhD, ML/econometrics research and IS/BA teaching (Connected Systems for Business, ML for Business TA, IT Mgmt labs). Asst or Assoc; Aug 2027 start fits.</t>
  </si>
  <si>
    <t xml:space="preserve">https://jobs.chronicle.com/job/38045022/assistant-associate-professor-business-information-systems-and-analytics/?TrackID=10; https://www.higheredjobs.com/faculty/details.cfm?JobCode=179300607; https://jobs.ncat.edu/postings/search?commit=Search&amp;page=1&amp;utf8=%E2%9C%93</t>
  </si>
  <si>
    <t xml:space="preserve">This is a good MIS fit, and it is a tenure-track rank at an R2 HBCU. The University of North Carolina System generally does sponsor H-1B for tenure-track faculty, but this posting does not say so either way. Confirm with NCAT HR or the BISA department chair. OPT would cover the first year after the PhD.</t>
  </si>
  <si>
    <t xml:space="preserve">North Dakota State University</t>
  </si>
  <si>
    <t xml:space="preserve">Adjunct Instructors (part-time), including Information Systems</t>
  </si>
  <si>
    <t xml:space="preserve">LIKELY - industry experience needed only on the master's route; a doctorate is the alternative (you qualify once the PhD is conferred)</t>
  </si>
  <si>
    <t xml:space="preserve">Not required for PhD holders</t>
  </si>
  <si>
    <t xml:space="preserve">https://www.ndsu.edu/business/our-team/join-our-team/adjunct-instructors</t>
  </si>
  <si>
    <t xml:space="preserve">College of Business: part-time adjunct instructor pool (Information Systems is a listed area; NDSU's catalog lists MIS courses)</t>
  </si>
  <si>
    <t xml:space="preserve">Adjunct Instructor (part-time, per course)</t>
  </si>
  <si>
    <t xml:space="preserve">ND</t>
  </si>
  <si>
    <t xml:space="preserve">No closing date. This is an ongoing adjunct pool, and the official NDSU College of Business Adjunct Instructors page says applicants are contacted and hired year-round based on college needs. Start date is as needed.</t>
  </si>
  <si>
    <t xml:space="preserve">As needed (year-round); not stated</t>
  </si>
  <si>
    <t xml:space="preserve">Nothing found. Neither the NDSU adjunct page nor the College's 'Join our Team' page says anything about visa or H-1B sponsorship. Part-time, per-course adjunct roles are generally poor candidates for H-1B sponsorship. The candidate could only teach under OPT after the PhD is conferred, and post-completion OPT needs at least 20 hours a week of degree-related work, which per-course adjunct teaching may not reach.</t>
  </si>
  <si>
    <t xml:space="preserve">Industry experience is required only on the master's-degree route. The page asks for a 'master's degree or higher with at least 5 years of industry/professional experience in a discipline related to the area of teaching; OR a doctoral degree.' Applicants with a doctorate do not need industry experience. The candidate has no industry experience, so they qualify only once the PhD is conferred (expected June 2027). Until then, as ABD, they do not meet either route.</t>
  </si>
  <si>
    <t xml:space="preserve">A doctoral degree in a related discipline, or a master's plus 5 years of industry experience. Evidence of currency in the teaching area is required. Prior teaching experience is described as 'helpful but not required.' The application lists recent employment, education, teaching experience, and professional honors or memberships. Pay is $5,000+ per 3-credit undergraduate course.</t>
  </si>
  <si>
    <t xml:space="preserve">This is an IS teaching line in an R1 business school, which the learned rubric scores 5 (compare the Colorado State CIS adjunct pool and the UT Dallas part-time IS lecturer). Part-time status does not lower the score. The candidate is a strong match for MIS courses. They were instructor of record for Intro to Connected Systems for Business (cloud, IoT, Azure labs). They were a TA for ML for Business (Python) and for the Intro to IT Management labs (~100 students). Their teaching interests include IS for business, Python, analytics, AI in business and social media analytics. Risks: (1) Eligibility. The candidate does not meet the master's + 5 years of industry experience route, so they would need the 'doctorate in a related discipline' route. Their PhD is expected June 2027, and they are ABD until then. (2) Per-course pay with no benefits or research support, and in-person teaching in Fargo is probably expected (not stated). This is a fallback or bridge option, not a career line. The same evidence shows no full-time IS/MIS tenure-track posting at NDSU.</t>
  </si>
  <si>
    <t xml:space="preserve">https://www.ndsu.edu/business/team; https://catalog.ndsu.edu/course-catalog/descriptions/mis/</t>
  </si>
  <si>
    <t xml:space="preserve">This is a part-time, per-course adjunct pool for Information Systems and other areas, not a faculty line. It fits the candidate poorly: they need H-1B sponsorship long term, part-time adjunct work is unlikely to be sponsored, and they meet the qualifications only after the PhD is conferred. At most it could be short-term OPT work after June 2027, and the 20 hours a week OPT minimum is an open question. Sources: https://www.ndsu.edu/business/our-team/join-our-team/adjunct-instructors ; https://www.ndsu.edu/business/team</t>
  </si>
  <si>
    <t xml:space="preserve">Oregon State University</t>
  </si>
  <si>
    <t xml:space="preserve">Instructor Pool - 2026/2027: Accounting, Finance, and Information Systems</t>
  </si>
  <si>
    <t xml:space="preserve">https://www.tealhq.com/job/instructor-pool-accounting-finance-and-information-systems_7ea1a8d9ac5dd3d434dd54e18a9ddb6d6655f</t>
  </si>
  <si>
    <t xml:space="preserve">School of Accounting, Finance and Information Systems</t>
  </si>
  <si>
    <t xml:space="preserve">Instructor (fixed-term, part-time pool)</t>
  </si>
  <si>
    <t xml:space="preserve">OR</t>
  </si>
  <si>
    <t xml:space="preserve">No closing date: 'applications will be considered throughout the 2026-2027 Academic Year, as opportunities become available.' HigherEdJobs 179514662 gives an anticipated start of 2026-12-16 and an anticipated end of 2027-06-15.</t>
  </si>
  <si>
    <t xml:space="preserve">As needed during AY 2026-27 (anticipated 2026-12-16 to 2027-06-15 per HigherEdJobs)</t>
  </si>
  <si>
    <t xml:space="preserve">Nothing found. The search found no mention of visa sponsorship for this posting. Listings describe it as open to all qualified applicants, which is not a sponsorship statement.</t>
  </si>
  <si>
    <t xml:space="preserve">Required: a master's degree in an appropriate business-related field and a demonstrated commitment to educational equity. Preferred: a PhD in a relevant business field, college-level teaching experience, and experience mentoring diverse learners. No industry experience is listed.</t>
  </si>
  <si>
    <t xml:space="preserve">Master's degree in a business-related field and a demonstrated commitment to educational equity are required. PhD and college-level teaching experience are preferred. Apply with a CV and a cover letter. Teaching areas are Accounting, Finance and Business Information Systems. Contact: David Berger (dave.berger@bus.oregonstate.edu).</t>
  </si>
  <si>
    <t xml:space="preserve">Part-time pool in School of Accounting, Finance &amp; IS covering Business Information Systems - IS adjunct pool in a business school (5); matches IS teaching (cloud/Azure, IT Mgmt labs, Python). Risk: in-person Corvallis, AY 2026-27 while ABD.</t>
  </si>
  <si>
    <t xml:space="preserve">https://www.higheredjobs.com/faculty/details.cfm?JobCode=179514662</t>
  </si>
  <si>
    <t xml:space="preserve">This is a part-time, 9-month, term-by-term pool with varied FTE. An H-1B for it is unlikely. The 2026-12-16 to 2027-06-15 window comes before the June 2027 PhD, so post-completion OPT would not apply; CPT or pre-completion OPT would be needed. Business Information Systems fits an MIS PhD. Low priority, but there is no deadline.</t>
  </si>
  <si>
    <t xml:space="preserve">Portland State University</t>
  </si>
  <si>
    <t xml:space="preserve">Adjunct Instructor, Business Technology &amp; Analytics (2026-27 pool)</t>
  </si>
  <si>
    <t xml:space="preserve">https://jobs.hrc.pdx.edu/postings/49706</t>
  </si>
  <si>
    <t xml:space="preserve">Business Technology &amp; Analytics (posting org code 250001, SBA Deans Office)</t>
  </si>
  <si>
    <t xml:space="preserve">The School of Business</t>
  </si>
  <si>
    <t xml:space="preserve">Adjunct Instructor (part-time, AP - AFT Local 3571)</t>
  </si>
  <si>
    <t xml:space="preserve">The PSU Careers listing (jobs.hrc.pdx.edu/postings/49706) is an AY 2026-27 rolling adjunct pool marked Open Until Filled, with no closing date. The proposed start of 09/16/2026 has passed, but pool applicants are contacted when term assignments come up. This search returned no closing date or sign that the pool has closed.</t>
  </si>
  <si>
    <t xml:space="preserve">Proposed start 09/16/2026 (AY 2026-27; rolling term assignments)</t>
  </si>
  <si>
    <t xml:space="preserve">Nothing found. The search returned no sponsorship or work-authorization language for this posting. The only related result was the PSU School of Business page 'Hiring International Students' (pdx.edu/business/hiring-international-students). It is a general guide for employers hiring PSU students and covers H-1B petitions filed by the sponsoring employer. It says nothing about PSU sponsoring its own adjunct positions.</t>
  </si>
  <si>
    <t xml:space="preserve">The search results showed no industry or professional experience requirement. The posting describes a part-time role 'to teach Business Technology &amp; Analytics courses in the undergraduate or graduate programs' (in person, online or hybrid). The qualifications section did not appear in the snippets, so this is unconfirmed.</t>
  </si>
  <si>
    <t xml:space="preserve">A master's degree is the minimum qualification, based on the 2025-26 version of this posting and the earlier file evidence. A supplemental question asks whether the applicant has a PhD or terminal degree. Other 2026-27 School of Business adjunct postings require candidates to live in Oregon or Washington during AY 2026-27. That line was not confirmed for this BTA posting, so check it. Pay is per credit hour ($1,360/credit), with part-time term-by-term assignments under the AFT Local 3571 union.</t>
  </si>
  <si>
    <t xml:space="preserve">Adjunct pool in Business Technology &amp; Analytics (IS/BA) - IS adjunct pool in a business school (5); matches cloud/IoT/Azure instruction and Python/ML. Risk: part-time per-credit, rolling Portland assignments in AY 2026-27 while ABD.</t>
  </si>
  <si>
    <t xml:space="preserve">https://jobs.hrc.pdx.edu/postings/49703; https://jobs.hrc.pdx.edu/postings/50591; https://jobs.hrc.pdx.edu/postings/search?utf8=%E2%9C%93&amp;query=&amp;query_v0_posted_at_date=&amp;2738=&amp;query_position_type_id=4&amp;2831=&amp;query_organizational_tier_2_id=any&amp;commit=Search; https://jobs.hrc.pdx.edu/postings/search?commit=Search&amp;query_organizational_tier_2_id=any&amp;query_position_type_id=4&amp;sort=2333+asc&amp;utf8=%E2%9C%93</t>
  </si>
  <si>
    <t xml:space="preserve">This is a part-time, per-course adjunct pool, not a full-time career position. Universities rarely sponsor H-1B for part-time adjunct work, and the posting says nothing about sponsorship. The candidate would need OPT to do this work, and post-completion OPT starts only after the PhD (expected June 2027). Part-time work may also have to meet the OPT 20+ hours/week standard. The possible OR/WA residency rule would require living in the area during 2026-27. This is a low-value target. Sources: https://jobs.hrc.pdx.edu/postings/49706, https://jobs.hrc.pdx.edu/postings/50591, https://www.pdx.edu/business/hiring-international-students</t>
  </si>
  <si>
    <t xml:space="preserve">Clinical Assistant Professor, MIS</t>
  </si>
  <si>
    <t xml:space="preserve">https://careers.purdue.edu/job/Clinical-Assistant-Professor,-MIS/41739-en_US/</t>
  </si>
  <si>
    <t xml:space="preserve">Management Information Systems</t>
  </si>
  <si>
    <t xml:space="preserve">Clinical Assistant Professor (non-tenure-track)</t>
  </si>
  <si>
    <t xml:space="preserve">No deadline, review date or start date was visible in the results. The req 41739 posting still shows up in careers.purdue.edu searches, but its cycle and posting date are not visible.</t>
  </si>
  <si>
    <t xml:space="preserve">The posting states candidates 'must have the ability to work in the US without immigration sponsorship (such as, but not limited to H-1B, TN, E-3 or O-1 visa status) from Purdue University.'</t>
  </si>
  <si>
    <t xml:space="preserve">Industry experience applies only to the alternative path: a master's plus 3 years of management-level industry experience. For PhD holders (PhD in a related discipline by the start of the appointment) it is not required.</t>
  </si>
  <si>
    <t xml:space="preserve">A PhD in a related discipline by the start of the appointment, or a master's plus 3 years of management-level industry experience. A background check is required.</t>
  </si>
  <si>
    <t xml:space="preserve">Clinical MIS teaching line - IS in a business school (5); matches instructor of record Connected Systems for Business, IT Mgmt labs, Python/ML. Start date unstated - confirm.</t>
  </si>
  <si>
    <t xml:space="preserve">Purdue explicitly will not sponsor H-1B, TN, E-3 or O-1. An F-1 holder on OPT might be able to start, but would have no path to sponsorship after OPT, including the STEM extension, ends. Poor fit for a candidate who needs sponsorship. Status of this cycle is unclear.</t>
  </si>
  <si>
    <t xml:space="preserve">Rutgers University-Newark</t>
  </si>
  <si>
    <t xml:space="preserve">Part-Time Lecturer / Coadjutant - Spring 2027</t>
  </si>
  <si>
    <t xml:space="preserve">https://jobs.rutgers.edu/postings/282025</t>
  </si>
  <si>
    <t xml:space="preserve">Rutgers Business School part-time lecturer/coadjutant pool (Management Science and Information Systems listed as a teaching field in the earlier sweep evidence)</t>
  </si>
  <si>
    <t xml:space="preserve">Rutgers Business School - Newark and New Brunswick</t>
  </si>
  <si>
    <t xml:space="preserve">Lecturer (formerly Part-Time Lecturer) / Coadjutant, part-time</t>
  </si>
  <si>
    <t xml:space="preserve">NJ</t>
  </si>
  <si>
    <t xml:space="preserve">No closing date found. Posting 282025 says Rutgers Business School is 'accepting applications for lecturers (formerly Part Time Lecturers) and Coadjutants for the Spring 2027 term, with courses beginning in January 2027 until May 2027.' It looks like a rolling pool that stays open until the Spring 2027 schedule is staffed, so applying soon is best.</t>
  </si>
  <si>
    <t xml:space="preserve">January 2027 (Spring 2027 term, through May 2027)</t>
  </si>
  <si>
    <t xml:space="preserve">Nothing found. The search showed the Spring 2027 posting's description but not its qualifications, work-authorization terms or sponsorship terms. Part-time per-course roles like this one usually do not come with H-1B sponsorship, but the posting does not say so.</t>
  </si>
  <si>
    <t xml:space="preserve">The posting's own qualifications did not appear in the results. Comparable Rutgers part-time postings ask for a master's degree and prefer a doctorate. The earlier RBS accounting part-time posting said: 'Masters degree required, Doctorate preferred, applicants with other degrees from an accredited institution will be considered.' None of the results listed industry experience as a requirement for this pool.</t>
  </si>
  <si>
    <t xml:space="preserve">Comparable postings require a master's degree, prefer a doctorate, and say the role involves teaching graduate or undergraduate courses, including online and hybrid. Similar postings ask for a cover letter, CV, a concise statement of prior teaching experience, and three references. Pay is at least $2,777 per credit (the Spring 2026 rate; the Spring 2027 rate was not shown).</t>
  </si>
  <si>
    <t xml:space="preserve">This is an IS teaching pool inside a business school. RBS's MSIS department teaches intro MIS/IT, business analytics and Python/data courses, and under the learned rule a part-time IS adjunct pool in a business school scores 5. Matching CV elements: instructor of record for Intro to Connected Systems for Business (cloud, IoT, Azure labs); TA for Machine Learning for Business (Python); IT Management labs (about 100 students); teaching interests in social media analytics, cloud, Python for business and AI in business. Risks that do not change the score: (1) the MSIS listing is not re-confirmed, and the pool covers all RBS disciplines; (2) the term runs January to May 2027, while the candidate is still ABD at UW-Milwaukee (defense expected June 2027), so on-site teaching in Newark or New Brunswick is impractical unless online or hybrid sections are offered; (3) per-course adjunct work with no benefits, not a career-track line.</t>
  </si>
  <si>
    <t xml:space="preserve">https://jobs.rutgers.edu/postings/266915; https://jobs.rutgers.edu/postings/search?2201=1&amp;commit=Search&amp;sort=434+asc; https://myrbs.business.rutgers.edu/phd/part-time-lecturers-instructors; https://www.business.rutgers.edu/faculty-research/recruiting</t>
  </si>
  <si>
    <t xml:space="preserve">This is a part-time, per-course adjunct pool, not a full-time faculty line. The Spring 2027 term (January to May 2027) ends before the candidate's expected PhD in June 2027, so post-completion OPT would not cover it. Working off-campus during the program would need CPT or other F-1 authorization from the candidate's own school, and Rutgers is unlikely to sponsor H-1B for adjunct work. Low fit for someone who needs sponsorship. The search did not confirm that MSIS is a listed teaching field; that comes only from the earlier sweep. Sources: https://jobs.rutgers.edu/postings/282025, https://jobs.rutgers.edu/postings/161959, https://jobs.rutgers.edu/postings/266915</t>
  </si>
  <si>
    <t xml:space="preserve">Temple University</t>
  </si>
  <si>
    <t xml:space="preserve">Tenure-Track / Non-Tenure-Track Faculty, Management Information Systems (Fox School general open-faculty-positions call)</t>
  </si>
  <si>
    <t xml:space="preserve">https://www3.fox.temple.edu/discover/2026/08/18/7-new-researchers-join-fox-school-faculty/</t>
  </si>
  <si>
    <t xml:space="preserve">Fox School of Business and Management</t>
  </si>
  <si>
    <t xml:space="preserve">Assistant Professor is the priority; Associate and Full Professor considered</t>
  </si>
  <si>
    <t xml:space="preserve">The official Fox 'Open Faculty Positions' page is a standing general call. It lists Management Information Systems but gives no deadline, review date or start date. October 2026 searches found no dated 2026-27 MIS tenure-track ad on Temple HR or other job boards. A Fox announcement from August 2026 says a new MIS assistant professor (University of Maryland PhD, 2026) was hired in the last cycle. The general call is still posted, so applying through it is possible, but there may be no funded MIS search this cycle.</t>
  </si>
  <si>
    <t xml:space="preserve">Nothing found. Neither the Fox open-positions page nor the search results say whether Temple will sponsor H-1B or other work visas for faculty.</t>
  </si>
  <si>
    <t xml:space="preserve">The open-positions call asks only about academic qualifications (ABD or PhD) and research and teaching materials. It says nothing about industry experience.</t>
  </si>
  <si>
    <t xml:space="preserve">Candidates must be ABD or hold a PhD or foreign equivalent in the field, so the candidate's ABD status meets the minimum. The application needs a cover letter, CV, research statement, evidence of teaching, and three references. The call is for 'Tenure-Track and Non-Tenure Track candidates at the Assistant, Associate and/or Full Professor levels', and Assistant Professors are the main target.</t>
  </si>
  <si>
    <t xml:space="preserve">MIS faculty line in Fox School of Business, an IS line in a business school, so 5. The candidate's pipeline (ISR R&amp;R, MISQ under review) on the creator economy, platform governance and IS economics fits an R1 MIS department. Assistant rank is the priority. Risks: the call is generic and does not say TT vs NTT; deadline and start date not stated; confirm the Fall 2027 start against the candidate's June 2027 defense.</t>
  </si>
  <si>
    <t xml:space="preserve">https://www.fox.temple.edu/faculty-research/academic-areas/management-information-systems/faculty; https://www.fox.temple.edu/faculty-research/open-faculty-positions</t>
  </si>
  <si>
    <t xml:space="preserve">This is a general call, not a dated MIS-specific posting. One call covers both tenure-track and non-tenure-track roles, and the MIS line may already have been filled in the 2025-26 cycle. Sponsorship is not addressed, so the candidate should email the MIS chair (Mart Doyle, Associate Professor &amp; Department Chair) to confirm there is an active search and ask about H-1B. Temple is an R1 university and should be cap-exempt for H-1B, so OPT could cover the period after the June 2027 PhD while H-1B is filed.</t>
  </si>
  <si>
    <t xml:space="preserve">Part-Time Instructor, Management Information Systems (adjunct pool)</t>
  </si>
  <si>
    <t xml:space="preserve">https://www.fox.temple.edu/faculty-research/open-faculty-positions</t>
  </si>
  <si>
    <t xml:space="preserve">Part-time Instructor (adjunct)</t>
  </si>
  <si>
    <t xml:space="preserve">This is a rolling adjunct pool with no date. A current search summary says the Fox open-positions page lists part-time instructor openings under Management, while the MIS section shows no separate listing, so it cannot be confirmed that an MIS adjunct opening is live now.</t>
  </si>
  <si>
    <t xml:space="preserve">Nothing found. The posting and Fox pages say nothing about visa sponsorship for part-time instructors.</t>
  </si>
  <si>
    <t xml:space="preserve">The posting states no industry requirement. However, the MIS faculty directory lists adjunct instructors and professors who hold outside industry jobs, such as a risk advisor, a systems analyst, and an application-development director at Temple. This suggests practitioners are often hired, but it is not a formal requirement.</t>
  </si>
  <si>
    <t xml:space="preserve">The page sets ABD or a PhD (or foreign equivalent) in the field as the bar. No other credentials or teaching-experience requirement were found.</t>
  </si>
  <si>
    <t xml:space="preserve">MIS adjunct pool in Fox School of Business, a part-time IS pool in a business school, so it scores 5 under the user's rule. The candidate's experience as instructor of record for Intro to Connected Systems for Business (cloud, IoT, Azure labs) and as TA for ML for Business (Python) and IT Management labs maps directly onto Fox MIS undergraduate courses. Risks: it is part-time and per course, and the candidate is in Milwaukee while the courses are in Philadelphia, so it only works as a stopgap.</t>
  </si>
  <si>
    <t xml:space="preserve">https://www.fox.temple.edu/faculty-research/adjunct-faculty</t>
  </si>
  <si>
    <t xml:space="preserve">This is a part-time adjunct pool, not a career-track job. It would not lead to H-1B sponsorship. Before the PhD it would need CPT or on-campus authorization under F-1. On post-completion OPT, work under 20 hours a week may not count as qualifying employment. It also could not be confirmed that an MIS-specific adjunct listing is currently live.</t>
  </si>
  <si>
    <t xml:space="preserve">Texas Christian University</t>
  </si>
  <si>
    <t xml:space="preserve">Information Systems Faculty Adjunct Pool</t>
  </si>
  <si>
    <t xml:space="preserve">https://jobs.tcu.edu/jobs/information-systems-faculty-adjunct-pool-tcu-main-campus-texas-united-states-4e0b7d2f-ca20-46aa-a3d6-d4430778a4fe</t>
  </si>
  <si>
    <t xml:space="preserve">Department of Information Systems &amp; Supply Chain Management</t>
  </si>
  <si>
    <t xml:space="preserve">M.J. Neeley School of Business</t>
  </si>
  <si>
    <t xml:space="preserve">Adjunct Instructor (part-time, temporary)</t>
  </si>
  <si>
    <t xml:space="preserve">The official jobs.tcu.edu posting (Job ID 499466) lists the application deadline as 'Not applicable'. It is a standing talent pool: applying puts you in a pool the departmental search committee can draw on if a need arises. No closing date, so it is presumably still open, but the search results did not show a 2026 re-posting.</t>
  </si>
  <si>
    <t xml:space="preserve">Not stated (as needed; evergreen pool, presumably serving AY 2026-27 / 2027-28)</t>
  </si>
  <si>
    <t xml:space="preserve">Nothing found. The search results showed only the pool description (temporary, part-time, Neeley School, Information Systems &amp; Supply Chain Management). They had no work-authorization or visa-sponsorship language.</t>
  </si>
  <si>
    <t xml:space="preserve">The search results showed no degree or experience requirements for this posting. Adjunct pools often draw practitioners, but the results did not confirm that.</t>
  </si>
  <si>
    <t xml:space="preserve">Not visible in the results (the full posting's Qualifications section was not retrieved). The role is a part-time temporary adjunct instructor, as needed.</t>
  </si>
  <si>
    <t xml:space="preserve">IS adjunct pool in Neeley's IS &amp; Supply Chain department, a part-time IS pool in a business school, so 5 under the rule. The candidate is instructor of record for Connected Systems for Business (cloud, IoT, Azure) and has TA'd ML for Business in Python and IT Management labs. Risks: part-time, evergreen and in person in Fort Worth, so it is a supplemental or bridge option.</t>
  </si>
  <si>
    <t xml:space="preserve">https://jobs.tcu.edu/jobs/search/faculty-neeley</t>
  </si>
  <si>
    <t xml:space="preserve">Weak fit for an F-1 candidate. This is a part-time, as-needed adjunct pool, so it may not give the 20+ hours a week that post-completion OPT expects for qualifying employment, and it is unlikely to lead to H-1B sponsorship. It is only useful as a teaching fallback. It is low effort to apply because there is no deadline. Sources: https://jobs.tcu.edu/jobs/information-systems-faculty-adjunct-pool-tcu-main-campus-texas-united-states-4e0b7d2f-ca20-46aa-a3d6-d4430778a4fe ; https://jobs.tcu.edu/jobs/search/faculty-neeley</t>
  </si>
  <si>
    <t xml:space="preserve">Texas Southern University</t>
  </si>
  <si>
    <t xml:space="preserve">Associate Professor of Management Information Systems (Cybersecurity focus)</t>
  </si>
  <si>
    <t xml:space="preserve">https://jobs.tsu.edu/postings/11719</t>
  </si>
  <si>
    <t xml:space="preserve">Business Administration (Management Information Systems)</t>
  </si>
  <si>
    <t xml:space="preserve">Jesse H. Jones School of Business</t>
  </si>
  <si>
    <t xml:space="preserve">Associate Professor</t>
  </si>
  <si>
    <t xml:space="preserve">No closing date in the search results. One aggregator dates the posting Sep 10, 2026 (Posting Number TSU203775). The search found the official listing at jobs.tsu.edu/postings/11728, not 11719 as recorded. The separate Assistant Professor of MIS posting (TSU203658) closed 03/11/2026, so its date does not apply to this role. Recent posting with no stated close date, so treat it as open until filled.</t>
  </si>
  <si>
    <t xml:space="preserve">nothing found. The search summary says visa sponsorship does not appear in the official portal or the Chronicle/InsideHigherEd listings for this role.</t>
  </si>
  <si>
    <t xml:space="preserve">The results mention no industry or professional work experience requirement. Qualifications listed are a doctorate in MIS or a closely related field, a cybersecurity focus and a professional certification in cybersecurity.</t>
  </si>
  <si>
    <t xml:space="preserve">Doctoral degree with an emphasis in MIS or a closely related discipline from a regionally accredited university. A cybersecurity focus is required. The listing calls for a professional certification in cybersecurity. The rank is Associate Professor (9-month tenure-track, UG and graduate teaching, hiring range $100,176.33-$135,238.00), which usually expects an established research and teaching record.</t>
  </si>
  <si>
    <t xml:space="preserve">MIS line in the Jones School of Business, so 5 regardless of rank. The candidate's ISR R&amp;R and MISQ submission are IS-core. Risks: Associate rank is a reach for an ABD candidate. The required cybersecurity focus is not in the candidate's CV, although the candidate's platform governance and misinformation work and the candidate's cloud/IoT teaching (Connected Systems) are adjacent. Pay is $100-135k; open until filled.</t>
  </si>
  <si>
    <t xml:space="preserve">https://jobs.chronicle.com/job/38034089/associate-professor-of-management-information-systems/; https://careers.insidehighered.com/job/3548227/associate-professor-of-management-information-systems/</t>
  </si>
  <si>
    <t xml:space="preserve">This is a poor fit for an ABD candidate finishing in June 2027 with no cybersecurity certification: the rank is Associate Professor and a cybersecurity certification is listed. Sponsorship is not stated, so it may be possible on OPT and then H-1B, but confirm with TSU HR. The official URL appears to be jobs.tsu.edu/postings/11728, not 11719.</t>
  </si>
  <si>
    <t xml:space="preserve">Texas Tech University</t>
  </si>
  <si>
    <t xml:space="preserve">Lecturer/Senior Lecturer - ISQS (Requisition 45938BR)</t>
  </si>
  <si>
    <t xml:space="preserve">https://jobs.world.edu/jobs/lecturer-senior-lecturer-2/</t>
  </si>
  <si>
    <t xml:space="preserve">Area of Information Systems and Quantitative Sciences (ISQS)</t>
  </si>
  <si>
    <t xml:space="preserve">Jerry S. Rawls College of Business</t>
  </si>
  <si>
    <t xml:space="preserve">Lecturer or Senior Lecturer</t>
  </si>
  <si>
    <t xml:space="preserve">No official closing date appeared in the search results; the posting looks rolling. The jobs.world.edu aggregator listing showed a closing date of 29 Sep 2026 (posted 30 Aug 2026). That date has passed, but it may be the aggregator's own listing expiry rather than TTU's deadline. Check the official TTU careers page for requisition 45938BR.</t>
  </si>
  <si>
    <t xml:space="preserve">Late Fall 2026 or Spring 2027</t>
  </si>
  <si>
    <t xml:space="preserve">nothing found. The search results (the jobs.world.edu posting summary and TTU department pages) had no visa or H-1B sponsorship statement for this job.</t>
  </si>
  <si>
    <t xml:space="preserve">The posting summary asks for experience teaching undergraduates across a range of student populations, and shows interest in asynchronous teaching or work with non-traditional students. It does not mention industry or professional experience.</t>
  </si>
  <si>
    <t xml:space="preserve">Full-time, 12-month, non-tenure-track job in Rawls College's ISQS area, starting Late Fall 2026 or Spring 2027. The main duty is teaching organized classes and/or instructional labs. Undergraduate teaching experience is expected, and asynchronous or non-traditional-student teaching experience is a plus. The minimum degree requirement did not appear in the results. A Late Fall 2026 start may come before the candidate's June 2027 PhD; a Spring 2027 start would mean working while ABD on F-1, which needs CPT or similar authorization, not post-completion OPT.</t>
  </si>
  <si>
    <t xml:space="preserve">Lecturer in Rawls College's Information Systems &amp; Quantitative Sciences area, an IS lecturer line in a business school, so 5. The candidate's IS teaching (Connected Systems/cloud/IoT, IT Management labs, Python ML for Business) and interests in business analytics and AI fit ISQS courses. Timing risk: late Fall 2026 or Spring 2027 start, while the candidate is still ABD.</t>
  </si>
  <si>
    <t xml:space="preserve">Search or mirror page - find the title on the university job portal</t>
  </si>
  <si>
    <t xml:space="preserve">https://www.depts.ttu.edu/rawlsbusiness/graduate/phd/placements/isqs.php</t>
  </si>
  <si>
    <t xml:space="preserve">The one search found the posting text (via jobs.world.edu) but not the official TTU HR requisition page. Sponsorship, the degree requirement and the true closing date are still unconfirmed. The start dates (Late Fall 2026 / Spring 2027) come before the June 2027 PhD, so post-completion OPT would not cover the start. Sources: https://jobs.world.edu/jobs/lecturer-senior-lecturer-2/ ; https://www.depts.ttu.edu/rawlsbusiness/about/isqs/</t>
  </si>
  <si>
    <t xml:space="preserve">Tulane University</t>
  </si>
  <si>
    <t xml:space="preserve">Professor of Practice in Information Systems</t>
  </si>
  <si>
    <t xml:space="preserve">Not this posting - you applied to Tulane University on 2026-08-29 for another line; confirm if you also want this one</t>
  </si>
  <si>
    <t xml:space="preserve">https://tulane-ibqejb.fa.ocs.oraclecloud.com/hcmUI/CandidateExperience/en/sites/CX_1001/job/1738</t>
  </si>
  <si>
    <t xml:space="preserve">A. B. Freeman School of Business – Management Science (Information Systems)</t>
  </si>
  <si>
    <t xml:space="preserve">A. B. Freeman School of Business</t>
  </si>
  <si>
    <t xml:space="preserve">Professor of Practice (non-tenure-track teaching faculty)</t>
  </si>
  <si>
    <t xml:space="preserve">LA</t>
  </si>
  <si>
    <t xml:space="preserve">The search did not find the posting text, so no closing date could be confirmed. The Oracle Cloud requisition (job 1738) appears to be part of the current Freeman hiring batch with jobs 1734 and 1736. That makes rolling review or open until filled likely, but neither was verified. Check the posting at https://tulane-ibqejb.fa.ocs.oraclecloud.com/hcmUI/CandidateExperience/en/sites/CX_1001/job/1738</t>
  </si>
  <si>
    <t xml:space="preserve">Not stated (presumably AY 2027-28, matching the current batch)</t>
  </si>
  <si>
    <t xml:space="preserve">Nothing found. The extended search returned no posting or HR text about visa or H-1B sponsorship for this role.</t>
  </si>
  <si>
    <t xml:space="preserve">The search returned no qualifications text for this posting, so no industry-experience requirement was confirmed. Freeman news (2023-24 faculty announcement) shows the school's professor of practice appointments have often gone to longtime adjuncts and practitioners, for example 'Larry Merington joins the full-time faculty as a professor of practice after serving as an adjunct professor since 2010'. Practice titles often favor professional experience, which could hurt a candidate with none. Confirm this on the posting.</t>
  </si>
  <si>
    <t xml:space="preserve">Not confirmed by search. The listing is Management Science (Information Systems), Teaching Faculty, non-tenure-track. Practice roles usually want a terminal or advanced degree plus teaching ability. Check the posting for degree timing and teaching-experience requirements.</t>
  </si>
  <si>
    <t xml:space="preserve">This is an IS line in a business school (Freeman's Management Science area), so the rubric gives it a 5 regardless of the practice track. On teaching, the candidate was instructor of record for Intro to Connected Systems for Business (cloud, IoT, Azure labs) and TA for Machine Learning for Business (Python) and the Intro to IT Management labs (~100 students). The candidate's teaching interests (Python for business, IS for business, ML/data analytics, AI in business, social media analytics) fit a teaching-focused IS role. The candidate's research record shows scholarly standing: R&amp;R at ISR, under review at MISQ, HICSS/AMCIS/ICIS/INFORMS papers on the creator economy and platform governance. Risks: professor-of-practice roles often prefer or require substantial industry experience, which the candidate lacks. The candidate is ABD with a June 2027 PhD, so the candidate would need to confirm that ABD applicants are eligible for a summer/fall 2027 start. The tenure-track IS sibling (job 1734) may be the better primary target, and this one a parallel application.</t>
  </si>
  <si>
    <t xml:space="preserve">This is a non-tenure-track Professor of Practice teaching role, reached through the Oracle Cloud job 1738 link. The one search found only Freeman news and faculty pages, not the posting. Sponsorship is not stated, so OPT for year one is plausible but H-1B support is unknown; ask HR. The practice title is a possible fit risk for a candidate with no industry experience.</t>
  </si>
  <si>
    <t xml:space="preserve">Tenure-Track Assistant Professor, Information Systems</t>
  </si>
  <si>
    <t xml:space="preserve">OK - start likely July 1, 2027 or later (after your June 2027 PhD); confirm with Merage</t>
  </si>
  <si>
    <t xml:space="preserve">https://recruit.ap.uci.edu/JPF09384</t>
  </si>
  <si>
    <t xml:space="preserve">Information Systems area</t>
  </si>
  <si>
    <t xml:space="preserve">Assistant Professor (tenure-track, Senate ladder rank)</t>
  </si>
  <si>
    <t xml:space="preserve">The official Merage 'Tenure-Track and SOE Faculty' page (merage.uci.edu/employment/tenure-track-faculty.html) still says the school is 'seeking candidates to fill one tenure-track Assistant Professor position in the Information Systems area'. Neither search found an IS-specific deadline, review date or current-cycle JPF on recruit.ap.uci.edu; the only IS JPF found (JPF09384) is from the earlier AY 24-25 cycle. The Strategy &amp; Entrepreneurship search on the same page accepts applications until filled, with first consideration for applications received by Oct 1, 2026. That date has passed, and it is not confirmed for the IS role. Apply as soon as possible, or email FacultyRecruitment@merage.uci.edu to confirm the IS JPF and timeline.</t>
  </si>
  <si>
    <t xml:space="preserve">Not stated (if it runs in parallel with the AY 26-27 S&amp;E search, the start would be as early as July 1, 2027; unconfirmed)</t>
  </si>
  <si>
    <t xml:space="preserve">nothing found. Neither the Merage page nor the search results mention visa or H-1B sponsorship for this role.</t>
  </si>
  <si>
    <t xml:space="preserve">No industry or professional experience requirement appears for this research tenure-track (Senate ladder) role.</t>
  </si>
  <si>
    <t xml:space="preserve">The application materials listed on the Merage page are a CV, cover letter, research statement, teaching statement, and publications or working papers. The parallel S&amp;E search on the same page requires the PhD to be completed by September 2027 (salary about $208K-$223K), but this is not confirmed for IS. The start date is not stated; other Merage searches this cycle start as early as July 1, 2027.</t>
  </si>
  <si>
    <t xml:space="preserve">Information Systems area, Merage School of Business, so 5. The candidate's pipeline (ISR R&amp;R, MISQ under review; creator economy, platform governance, IS economics) and the candidate's ML/LLM and multimodal methods fit a research IS group. Assistant ladder rank; deadline and start not stated (likely July 2027).</t>
  </si>
  <si>
    <t xml:space="preserve">https://merage.uci.edu/research-faculty/academic-areas/information-systems.html; https://merage.uci.edu/employment/tenure-track-faculty.html</t>
  </si>
  <si>
    <t xml:space="preserve">A strong fit for an MIS PhD. The IS opening is listed on Merage's official page, but no current-cycle recruit.ap.uci.edu link was found, so check the AP Recruit portal or email FacultyRecruitment@merage.uci.edu. UC Senate ladder-rank faculty hires routinely receive H-1B sponsorship, but this posting does not say so. With a June 2027 PhD, OPT would cover a July 2027 start.</t>
  </si>
  <si>
    <t xml:space="preserve">University of Houston</t>
  </si>
  <si>
    <t xml:space="preserve">Adjunct Faculty - Decision &amp; Information Sciences</t>
  </si>
  <si>
    <t xml:space="preserve">https://careers.uh.edu/jobs/adjunct-faculty-decision-information-sciences-houston-texas-united-states</t>
  </si>
  <si>
    <t xml:space="preserve">Department of Decision &amp; Information Sciences (DISC)</t>
  </si>
  <si>
    <t xml:space="preserve">C. T. Bauer College of Business</t>
  </si>
  <si>
    <t xml:space="preserve">Adjunct (part-time instructor)</t>
  </si>
  <si>
    <t xml:space="preserve">Standing, rolling adjunct pool; no closing or posted date shown on the careers.uh.edu listing.</t>
  </si>
  <si>
    <t xml:space="preserve">Not stated (as-needed semester teaching)</t>
  </si>
  <si>
    <t xml:space="preserve">nothing found. The search summary says the careers.uh.edu listing does not mention work authorization or visa matters. Part-time adjunct roles generally cannot support H-1B sponsorship in practice.</t>
  </si>
  <si>
    <t xml:space="preserve">Not required. The listing asks for appropriate academic or professional credentials, and candidates with extensive executive work experience may also be considered as an alternative to the degree route.</t>
  </si>
  <si>
    <t xml:space="preserve">A master's in the discipline for undergraduate teaching, or a PhD in the discipline for graduate teaching. Subjects: MIS, business analytics, supply chain, AI. Official transcripts are required once final candidates are selected, and a criminal history check is required. Pay is commensurate with experience. Part-time, as-needed semester teaching.</t>
  </si>
  <si>
    <t xml:space="preserve">DISC is Bauer's home for MIS, and the pool lists MIS first. That makes it a business-school IS adjunct pool, which scores 5 under the learned rubric (cf. the UT Dallas JSOM part-time IS lecturer and Colorado State CIS adjunct pool examples). The candidate's teaching record fits closely: instructor of record for Intro to Connected Systems for Business (cloud, IoT, Azure labs), TA for Machine Learning for Business (Python), and lab instructor for Intro to IT Management (~100 students). The AI and business analytics course areas match the candidate's stated interests in AI in business, ML and data analytics, and Python for business. Risks: this is part-time, per-course adjunct work, not a career line. The PhD is expected June 2027, so as an ABD with a master's the candidate could teach undergraduate sections but likely not graduate sections until the candidate finishes. The candidate is based in Milwaukee, so an in-person Houston adjunct role would only work if the candidate relocates or teaching is offered online. Those risks do not change the field-based score.</t>
  </si>
  <si>
    <t xml:space="preserve">Part-time adjunct pool: it does not give long-term H-1B sponsorship. On F-1 before the PhD, it would need CPT or similar authorization. After the PhD it could only count as OPT employment if it is related to the degree and meets hours rules. Low priority for this candidate. Source: https://careers.uh.edu/jobs/adjunct-faculty-decision-information-sciences-houston-texas-united-states</t>
  </si>
  <si>
    <t xml:space="preserve">University of Louisville</t>
  </si>
  <si>
    <t xml:space="preserve">Part-Time Lecturer - Information Systems, Analytics and Operations (PTL pool)</t>
  </si>
  <si>
    <t xml:space="preserve">https://www.indeed.com/q-bioinformatics-lecturers-l-louisville,-ky-jobs.html</t>
  </si>
  <si>
    <t xml:space="preserve">Department of Information Systems, Analytics and Operations</t>
  </si>
  <si>
    <t xml:space="preserve">Part-Time Lecturer</t>
  </si>
  <si>
    <t xml:space="preserve">KY</t>
  </si>
  <si>
    <t xml:space="preserve">No closing date found in any result. This is a rolling part-time lecturer pool for start dates in August 2026 and January 2027. Hiring is contingent on funding and continued need. Because the August 2026 term has already started, the January 2027 (spring) term is the realistic entry point.</t>
  </si>
  <si>
    <t xml:space="preserve">Per term, rolling (AY 2026-27: Aug 2026 / Jan 2027 per earlier lead)</t>
  </si>
  <si>
    <t xml:space="preserve">In the search summary, the Indeed listing for this PTL position says 'Visa sponsorship is not provided for this position.' A separate UofL College of Business graduate-program PTL posting also says no H1B sponsorship. This comes from an aggregator, not the official UofL Workday page.</t>
  </si>
  <si>
    <t xml:space="preserve">Accept on post-completion OPT (12 mo) + STEM OPT extension (24 mo, needs E-Verify employer + I-983 plan). No H-1B from this employer, so plan to move on before OPT ends. PART-TIME: OPT needs &gt;= 20 hrs/week of qualifying work; STEM OPT needs &gt;= 20 hrs/week with ONE E-Verify employer, so an adjunct course load alone may not satisfy OPT.</t>
  </si>
  <si>
    <t xml:space="preserve">No industry or professional experience requirement found for this posting. Preferred expertise areas are AI (including generative AI and AI governance and ethics), business information systems, business analytics, emerging technologies and data-driven decision making. A JobLeads 'Part-Time Lecturer' listing that asks for 5 years of experience appears to be a different UofL role (HR/communication), so it was not applied here.</t>
  </si>
  <si>
    <t xml:space="preserve">Undergraduate teaching of 1-2 courses per semester, face-to-face (online delivery is also mentioned). PTLs may be expected to teach face-to-face courses. The minimum degree could not be confirmed from results. An earlier snippet said doctoral candidates expecting to finish by July 2027 are encouraged to apply.</t>
  </si>
  <si>
    <t xml:space="preserve">Part-time lecturer pool in the Department of Information Systems, Analytics &amp; Operations, an IS pool in a business school, so 5. The AI, business information systems and analytics courses match the candidate's Connected Systems, IT Management and Python ML teaching. Risks: per course, face to face in Louisville.</t>
  </si>
  <si>
    <t xml:space="preserve">https://www.ziprecruiter.com/Jobs/Business-Analytics-Lecturer</t>
  </si>
  <si>
    <t xml:space="preserve">Low fit for the candidate. It is part-time and per-course, with sponsorship stated as not provided (per aggregator). Part-time adjunct work is unlikely to count as qualifying full-time OPT employment, and a candidate on F-1 before June 2027 could teach only on CPT, if at all. Check the official UofL careers posting to confirm degree and authorization wording.</t>
  </si>
  <si>
    <t xml:space="preserve">University of Massachusetts Boston</t>
  </si>
  <si>
    <t xml:space="preserve">Associate Lecturer - College of Management (several positions)</t>
  </si>
  <si>
    <t xml:space="preserve">https://careers.insidehighered.com/job/3473108/associate-lecturer-college-of-management/?TrackID=11</t>
  </si>
  <si>
    <t xml:space="preserve">Multiple College of Management areas, including Management Science &amp; Information Systems (Data Analytics, Information Systems, Supply Chain), plus Accounting, Finance, Entrepreneurship and Marketing</t>
  </si>
  <si>
    <t xml:space="preserve">College of Management</t>
  </si>
  <si>
    <t xml:space="preserve">Associate Lecturer (non-tenure-track)</t>
  </si>
  <si>
    <t xml:space="preserve">MA</t>
  </si>
  <si>
    <t xml:space="preserve">Job no. 529597 opened 04 Mar 2026. No closing date appears in the Inside Higher Ed listing (job 3473108) or the search summary. It looks like a rolling AY 2026-27 part-time pool and was still listed in the Oct 2026 search.</t>
  </si>
  <si>
    <t xml:space="preserve">Not stated (semester-by-semester, AY 2026-27 presumably)</t>
  </si>
  <si>
    <t xml:space="preserve">The posting itself says nothing about sponsorship. Indirect signals: UMass Boston careers/HR pages say UMB does not provide visa sponsorship for non-academic positions, and it is unclear whether this lecturer pool counts as academic. A UMass Amherst page on UMass system H-1B policy says no H-1B sponsorship for part-time positions unless there is compelling need. That page is from a different campus, so it may not apply here. Overall, H-1B for this part-time pool is unlikely.</t>
  </si>
  <si>
    <t xml:space="preserve">Not required for PhD holders or PhD candidates. Only applicants with just a master's degree must show 'a record of experience and continuous engagement in a professional setting.' As a PhD candidate, the applicant meets the requirement without industry experience.</t>
  </si>
  <si>
    <t xml:space="preserve">Master's degree, or PhD or PhD candidacy, in the area of instruction or a closely related field (Accounting, Finance, Data Analytics, Information Systems, Supply Chain, Entrepreneurship, Marketing). Must show potential for excellence in teaching. A record of excellent classroom and/or online/remote teaching is desired. The roles are part-time and non-permanent, with potential to become full-time.</t>
  </si>
  <si>
    <t xml:space="preserve">Associate lecturer pool that explicitly includes the Management Science &amp; Information Systems areas (Information Systems, Data Analytics), so the IS slot is an IS lecturer position in a business school: 5. The candidate's IS, cloud/IoT and Python ML teaching fit. Risks: part-time, semester by semester, in person in Boston.</t>
  </si>
  <si>
    <t xml:space="preserve">https://employmentopportunities.umb.edu/boston/en-us/listing/; https://www.glassdoor.com/Jobs/UMass-Boston-Jobs-E546137.htm; https://careers.insidehighered.com/job/3276413/non-tenure-track-part-time-lecturers-college-of-management-several-positions-/</t>
  </si>
  <si>
    <t xml:space="preserve">Part-time, non-permanent associate lecturer pool hired semester by semester. It covers IS, data analytics and supply chain, so it fits an MIS PhD. The candidate could work here on post-completion OPT (after June 2027) or possibly on CPT while ABD. H-1B sponsorship is unlikely for a part-time role (see the UMass system policy above), so this is not a long-term visa route unless it becomes full-time. Check with UMB HR before relying on it.</t>
  </si>
  <si>
    <t xml:space="preserve">University of New Mexico</t>
  </si>
  <si>
    <t xml:space="preserve">Assistant Professor - Management Information Systems (req38095)</t>
  </si>
  <si>
    <t xml:space="preserve">https://jobs.chronicle.com/job/38045946/assistant-professor-management-information-systems/</t>
  </si>
  <si>
    <t xml:space="preserve">Marketing, Information Systems &amp; Decision Sciences (MIDS)</t>
  </si>
  <si>
    <t xml:space="preserve">James &amp; Gail Ellis School of Business Leadership (formerly Anderson School of Management)</t>
  </si>
  <si>
    <t xml:space="preserve">NM</t>
  </si>
  <si>
    <t xml:space="preserve">Neither search found a closing, review or best-consideration date. The Chronicle listing shows it was posted 2026-09-30, so it is very recent and probably still open. The companion MIS Lecturer II posting (req38102, same department, same posting day) lists best consideration by 10/29/2026, so a similar late-October review start is plausible but not confirmed. Check the official UNM posting (req38095) for the actual date.</t>
  </si>
  <si>
    <t xml:space="preserve">August 2027 (anticipated)</t>
  </si>
  <si>
    <t xml:space="preserve">Nothing found. The Chronicle and Dreamwork snippets for req38095 say nothing about visa or H-1B sponsorship or work authorization, and the search summary says so explicitly. The full UNM posting (req38095) needs checking.</t>
  </si>
  <si>
    <t xml:space="preserve">The minimum qualifications are academic only: a doctorate and a research program. No industry or professional experience is mentioned.</t>
  </si>
  <si>
    <t xml:space="preserve">An earned doctorate in MIS, Information Systems, Cybersecurity or a closely related field from an accredited institution, or a strong prospect of finishing one by the anticipated start in August 2027. Cybersecurity specialization is preferred. Evidence or promise of a significant research and scholarship program is expected, but this wording came from a related UNM Ellis posting (Operations Management), so it is probably in this one too but not confirmed. Salary per Dreamwork is about $105k-$155k (not official).</t>
  </si>
  <si>
    <t xml:space="preserve">Tenure-track MIS in a business school = 5. Fits the ISR R&amp;R, MISQ under review and HICSS/ICIS/AMCIS record, plus cloud/IoT teaching. Cybersecurity is preferred but not on the CV, a mild gap. Aug 2027 start fits the June 2027 PhD.</t>
  </si>
  <si>
    <t xml:space="preserve">https://www.dreamworkhq.com/job/d4a05eb3-be45-4cc8-85c6-2af1ec4cd91a</t>
  </si>
  <si>
    <t xml:space="preserve">This is a strong fit for an ABD MIS candidate finishing in June 2027, since the doctorate only has to be done by August 2027. Its cybersecurity preference may narrow fit. UNM is a public R1 and is cap-exempt for H-1B. The posting does not say whether it sponsors, so confirm with the search committee or UNM HR. OPT would cover the first year.</t>
  </si>
  <si>
    <t xml:space="preserve">University of North Texas</t>
  </si>
  <si>
    <t xml:space="preserve">Adjunct Instructor: Information Technology &amp; Decision Sciences</t>
  </si>
  <si>
    <t xml:space="preserve">https://careers.untsystem.edu/jobs/adjunct-instructor-information-technology-decision-sciences-denton-texas-united-states-b68aaa16-7188-4215-bc57-b4d00f89954a</t>
  </si>
  <si>
    <t xml:space="preserve">Information Technology &amp; Decision Sciences (ITDS)</t>
  </si>
  <si>
    <t xml:space="preserve">G. Brint Ryan College of Business</t>
  </si>
  <si>
    <t xml:space="preserve">Adjunct Instructor (pool)</t>
  </si>
  <si>
    <t xml:space="preserve">Rolling adjunct pool with no fixed closing date. It 'welcomes applicants at any time', and openings depend on teaching needs. The careers.untsystem.edu listing covers Fall 2026, Spring 2027 and Summer 2027. An older PageUp/aggregator version of this pool covered Fall 2025 to Summer 2026. Today's search found no sign that the current pool is closed.</t>
  </si>
  <si>
    <t xml:space="preserve">As needed: Fall 2026, Spring 2027 or Summer 2027 semesters</t>
  </si>
  <si>
    <t xml:space="preserve">Nothing found. The ITDS adjunct posting (careers.untsystem.edu / PageUp) says nothing about visa sponsorship. A third-party aggregator lists UNT-wide H-1B petition counts, but they are unverified and not specific to this role.</t>
  </si>
  <si>
    <t xml:space="preserve">Preferred qualifications list 'relevant work experience in the area of the course taught and/or teaching experience in the field', so teaching experience can substitute. For BUSI 3100, the requirements include 'teaching and/or practical experience using MS Excel for reporting and decision support'. Industry experience is not required.</t>
  </si>
  <si>
    <t xml:space="preserve">For undergraduate BCIS/DSCI courses (2xxx-4xxx): a master's degree plus at least 18 graduate credit hours in IS and/or MS or a closely related field. For graduate courses: a PhD in IS/MS or a closely related field. A terminal degree is preferred. BUSI 3100 has extra requirements, including Excel teaching or practical experience.</t>
  </si>
  <si>
    <t xml:space="preserve">IS/IT adjunct pool in a business school (Ryan ITDS) = 5, the same pattern as the Colorado State CIS adjunct pool. Matches the IT Management labs, cloud/IoT instructor-of-record course and Python/ML TA work. Per-semester part-time only.</t>
  </si>
  <si>
    <t xml:space="preserve">This is a part-time, per-semester adjunct pool, not a full-time career line. As an F-1 student or OPT holder, the candidate could teach undergraduate sections with the master's degree plus 18 graduate hours (the PhD is not yet conferred). A part-time adjunct role is a weak path to H-1B sponsorship. Pay is 'commensurate with qualifications'.</t>
  </si>
  <si>
    <t xml:space="preserve">University of Oklahoma</t>
  </si>
  <si>
    <t xml:space="preserve">Assistant Professor of Management Information Systems - Tenure Track</t>
  </si>
  <si>
    <t xml:space="preserve">Not this posting - you applied to University of Oklahoma on 2026-07-31 for another line; confirm if you also want this one</t>
  </si>
  <si>
    <t xml:space="preserve">https://www.highered360.com/jobs/JobDetail.cfm?JobID=179212463</t>
  </si>
  <si>
    <t xml:space="preserve">Division of Management Information Systems</t>
  </si>
  <si>
    <t xml:space="preserve">Michael F. Price College of Business</t>
  </si>
  <si>
    <t xml:space="preserve">OK</t>
  </si>
  <si>
    <t xml:space="preserve">Neither the HigherEdJobs listing (JobCode 179212463) nor the Chronicle listing (38019808) shows an application deadline or review-start date. The Chronicle listing was posted 2026-07-29 and is valid through 2026-09-28. That is exactly the aggregator's standard 60-day expiry, so it is probably not the university's closing date. Start date is Fall 2027. Check the Interfolio posting (apply.interfolio.com/193265) to confirm it still accepts applications. If it does, apply now: the search has been open since late July.</t>
  </si>
  <si>
    <t xml:space="preserve">nothing found. The search results (HigherEdJobs and Chronicle listings) say nothing about visa or H-1B sponsorship or work authorization.</t>
  </si>
  <si>
    <t xml:space="preserve">No industry or professional experience requirement appears. The listing asks for a PhD in MIS or a closely related field, plus strong teaching and research. It names ABD candidates and current assistant professors elsewhere as welcome to apply.</t>
  </si>
  <si>
    <t xml:space="preserve">PhD in Management Information Systems or a closely related discipline, or on track to complete the PhD by the position start date (Fall 2027). ABD candidates are explicitly encouraged to apply. Applicants should show strong research and teaching. Preference goes to candidates who can teach general MIS courses plus cybersecurity, AI, and data analytics. Salary is listed as competitive.</t>
  </si>
  <si>
    <t xml:space="preserve">Assistant MIS, tenure-track, in a business school = 5. Fits the ISR R&amp;R and MISQ pipeline and AI/data-analytics teaching (Python, ML for Business). Cybersecurity preference is a mild gap. Fall 2027 start fits.</t>
  </si>
  <si>
    <t xml:space="preserve">https://jobs.chronicle.com/job/38019808/assistant-professor-of-management-information-systems-tenure-track/?TrackID=10; https://apply.interfolio.com/193265; https://www.higheredjobs.com/faculty/details.cfm?JobCode=179212463</t>
  </si>
  <si>
    <t xml:space="preserve">This is a good fit for an ABD candidate with a June 2027 PhD and no industry experience. The deadline and sponsorship policy were not found in the search results. OU is an R1 public university, and R1 research tenure-track roles commonly sponsor H-1B, but this posting does not say so; confirm with the MIS division. OU separately lists an 'Open Rank Professor of MIS' posting (Chronicle 38042306), and a UniversityJobs copy titles it 'Ranked Renewable Term', which would make it non-tenure. That posting is not part of this row. Sources: https://www.higheredjobs.com/faculty/details.cfm?JobCode=179212463 ; https://jobs.chronicle.com/job/38019808/assistant-professor-of-management-information-systems-tenure-track/?TrackID=10</t>
  </si>
  <si>
    <t xml:space="preserve">University of Southern California</t>
  </si>
  <si>
    <t xml:space="preserve">Adjunct Professor of Data Sciences and Operations 2026-2027</t>
  </si>
  <si>
    <t xml:space="preserve">https://usccareers.usc.edu/job/los-angeles/adjunct-professor-of-data-sciences-and-operations/1209/93285006512</t>
  </si>
  <si>
    <t xml:space="preserve">Data Sciences and Operations</t>
  </si>
  <si>
    <t xml:space="preserve">Marshall School of Business</t>
  </si>
  <si>
    <t xml:space="preserve">Adjunct Professor (part-time)</t>
  </si>
  <si>
    <t xml:space="preserve">No closing date. This is a rolling part-time pool for AY 2026-27 (Job ID REQ20173473) with a listed start of 2026-11-02. The official usccareers.usc.edu posting (job 93285006512) still came up in an Oct 2026 search and was also syndicated on recruitmilitary.com. Nothing showed it had closed.</t>
  </si>
  <si>
    <t xml:space="preserve">2026-11-02 (AY 2026-27)</t>
  </si>
  <si>
    <t xml:space="preserve">Nothing found. The posting text in the search results says nothing about visa or H-1B sponsorship, and the role is part-time and paid per course.</t>
  </si>
  <si>
    <t xml:space="preserve">The posting does not set a specific number of years of industry experience. But the adjunct category it describes is faculty who teach less than full-time at USC and are employed full-time in a primary profession or career elsewhere, with consultants and entrepreneurs as examples. Adjuncts typically teach about one course a year. Current DSO adjuncts include industry product managers and startup founders. In practice the role is aimed at practitioners.</t>
  </si>
  <si>
    <t xml:space="preserve">Ph.D. from a top university in a related discipline. Several years of experience teaching Information Systems and related subjects at both undergraduate and graduate levels. Teaching experience in spreadsheet modeling and digital media is of special interest, as is the ability to teach other DSO courses.</t>
  </si>
  <si>
    <t xml:space="preserve">Part-time adjunct teaching information systems, spreadsheet modeling and digital media courses in Marshall DSO, USC's IS home. An IS adjunct line in a business school = 5. Fits the IS/IT Management labs, social-media analytics and Python teaching interests. Per-course only. Starts Nov 2026, so it is an interim fit.</t>
  </si>
  <si>
    <t xml:space="preserve">https://usccareers.usc.edu/search-jobs/marshall?orgIds=1728-1209&amp;kt=1&amp;ac=40020</t>
  </si>
  <si>
    <t xml:space="preserve">Poor fit for this candidate. The role is a part-time, per-course adjunct pool and is not a career-track or full-time job, so H-1B sponsorship is very unlikely. It starts 2026-11-02, before the expected June 2027 PhD. It also expects several years of teaching experience, and the adjunct category assumes full-time employment elsewhere. The candidate is on F-1 with no OPT before graduation, so working here would need CPT or school approval. Not suitable as a post-PhD job that could run on OPT.</t>
  </si>
  <si>
    <t xml:space="preserve">University of Texas at Arlington</t>
  </si>
  <si>
    <t xml:space="preserve">Assistant Professor, Department of Information Systems and Operations Management</t>
  </si>
  <si>
    <t xml:space="preserve">https://www.uta.edu/academics/schools-colleges/business/departments/information-systems-and-operations-management</t>
  </si>
  <si>
    <t xml:space="preserve">An extended search on 2026-10-14 found no current-cycle (2026-27) posting with a deadline, review date or start date. The only direct posting it found was an older 2019 INFORMS Connect announcement for a tenure-track IS Assistant Professor at UTA. The earlier AIS Academic Careers listing has no dates. UTA posts faculty openings on uta.peopleadmin.com, but the search returned no specific requisition for this role.</t>
  </si>
  <si>
    <t xml:space="preserve">Not stated (presumed Fall 2027 if current-cycle; unconfirmed)</t>
  </si>
  <si>
    <t xml:space="preserve">nothing found. No search result mentions visa or H-1B sponsorship for this role, and no UTA HR sponsorship statement appeared.</t>
  </si>
  <si>
    <t xml:space="preserve">No industry or professional experience requirement appeared in any result. The only qualification text found, from the older 2019 posting, is academic: a doctorate.</t>
  </si>
  <si>
    <t xml:space="preserve">From the 2019 INFORMS posting for the same department (it may not carry over): a doctorate in Information Systems from an AACSB-accredited (or equivalent) university by the date of appointment. Taken at face value, this means the PhD must be conferred by the start date (expected June 2027, so feasible for a Fall 2027 start).</t>
  </si>
  <si>
    <t xml:space="preserve">This is a home-department IS line in a business school: ISOM is an IS-inclusive 'Information Systems &amp; Operations' department, which the learned rubric scores 5. If the line is on the IS side, it matches the candidate's MIS PhD (UWM Lubar). It also fits the candidate's IS-economics and creator-economy/platform-governance research using econometrics, causal inference, ML/LLMs and multimodal data. The candidate's pipeline is strong for a research-track Assistant hire (ISR R&amp;R, MISQ under review, ICIS/HICSS/AMCIS). The candidate can teach UTA ISOM courses in business analytics, Python and cloud, drawing on the candidate's instructor-of-record course on connected systems, cloud and Azure and the candidate's ML-for-Business TA work. Risks: the area is unconfirmed, and a pure-OM search would be a much weaker fit (about 2). The cycle and deadline are also unverified. The candidate's June 2027 ABD completion lines up with a Fall 2027 start.</t>
  </si>
  <si>
    <t xml:space="preserve">https://academiccareers.aisnet.org/jobs/</t>
  </si>
  <si>
    <t xml:space="preserve">No current posting was confirmed. The role is known only from an undated AIS board line. Check uta.peopleadmin.com (faculty postings) or contact the ISOM department directly to confirm the current opening, the deadline and the sponsorship policy. As a public Texas R1, UTA generally hires international tenure-track faculty, but the search found no explicit statement. An F-1 candidate could start on OPT if the role is real and current. Sources: https://connect.informs.org/communities/community-home/digestviewer/viewthread?MessageKey=ff038a6a-c177-407c-bf72-65c9e5f48499 ; https://uta.peopleadmin.com/postings/search?query_position_type_id=3 ; https://www.higheredjobs.com/details.cfm?JobCode=179408095</t>
  </si>
  <si>
    <t xml:space="preserve">Villanova University</t>
  </si>
  <si>
    <t xml:space="preserve">Tenure Track Faculty, Management Information Systems (Posting No. 20260076F)</t>
  </si>
  <si>
    <t xml:space="preserve">https://www.disabledperson.com/jobs/75493209-tenure-track-faculty-management-information-systems</t>
  </si>
  <si>
    <t xml:space="preserve">Accounting and Information Systems</t>
  </si>
  <si>
    <t xml:space="preserve">Villanova School of Business</t>
  </si>
  <si>
    <t xml:space="preserve">Assistant Professor or Associate Professor</t>
  </si>
  <si>
    <t xml:space="preserve">Review of applications began immediately and continues until the position is filled. No fixed closing date was found. The Chronicle ad was posted 2026-09-24 and its listing runs through 2026-11-24. Applications go through jobs.villanova.edu, apparently posting 36407. The search committee chair is Wenhong Luo.</t>
  </si>
  <si>
    <t xml:space="preserve">Nothing found. The search summary says none of the results (Chronicle, PhD Project, HigherEdJobs, DisabledPerson, the Villanova employment site) mention whether Villanova sponsors work visas for this role.</t>
  </si>
  <si>
    <t xml:space="preserve">The qualifications ask only for an academic background: a PhD in IS/MIS or a closely related field and the potential to publish in top peer-reviewed MIS journals. No industry or professional experience is mentioned.</t>
  </si>
  <si>
    <t xml:space="preserve">A PhD in IS/MIS or a closely related field, plus the potential to publish in top MIS journals. Associate rank also requires an established record of publications in top MIS journals and several years of teaching with strong evaluations. The job is teaching undergraduate and graduate MIS courses and doing research in any area of MIS. It starts Fall 2027 at Assistant or Associate rank. Apply online at jobs.villanova.edu.</t>
  </si>
  <si>
    <t xml:space="preserve">MIS tenure-track in the Villanova School of Business = 5. AI courses and an AI-related dissertation preference match the LLM/ML and multimodal methods, AI-in-business teaching and the ISR/MISQ pipeline. Assistant or Associate. Fall 2027 start.</t>
  </si>
  <si>
    <t xml:space="preserve">https://jobs.phdproject.org/jobs/606812899-tenure-track-faculty-management-information-systems-at-villanova-school-of-business; https://www.higheredjobs.com/faculty/details.cfm?JobCode=179265087; https://jobs.chronicle.com/job/38043046/tenure-track-faculty-management-information-systems/</t>
  </si>
  <si>
    <t xml:space="preserve">Strong fit: an MIS tenure-track job open to new PhDs (Assistant rank) starting Fall 2027, which matches the June 2027 PhD. Sponsorship is not stated either way. An older Fall 2026 version of a similar MIS posting (HigherEdJobs, posted 10/08/2025) also exists, so make sure you apply to 20260076F. With a June 2027 PhD, plan to start on OPT and ask HR about H-1B. Apply soon, because review is already under way.</t>
  </si>
  <si>
    <t xml:space="preserve">Worcester Polytechnic Institute</t>
  </si>
  <si>
    <t xml:space="preserve">Assistant Professor of Information Systems/Block Chain</t>
  </si>
  <si>
    <t xml:space="preserve">Not this posting - you applied to Worcester Polytechnic Institute on 2026-07-18 for another line; confirm if you also want this one</t>
  </si>
  <si>
    <t xml:space="preserve">https://wpi.wd5.myworkdayjobs.com/en-US/WPI_External_Career_Site/job/Assistant-Professor-of-Information-Systems-Block-Chain_R0003454</t>
  </si>
  <si>
    <t xml:space="preserve">Information Systems / Information Technology area (The Business School)</t>
  </si>
  <si>
    <t xml:space="preserve">The Business School</t>
  </si>
  <si>
    <t xml:space="preserve">The search results list it as 'open until filled' with no fixed closing date. Posting dates differ by site (May 22, 2026 on one, July 3, 2026 on another). One aggregator showed a June 18, 2026 closing date, which has passed. The official WPI Workday requisition R0003454 still turns up in search, but the posting expected interviews at AMCIS 2026 (August 2026, now past), so the search may be well along. Check the Workday page before applying.</t>
  </si>
  <si>
    <t xml:space="preserve">nothing found. None of the search results (WPI Workday, AcademicKeys, AcademicCareers, HigherEdJobs copies) say whether WPI sponsors visas for this role. They also contain no 'must be authorized to work without sponsorship' language. Confirm with WPI HR or the Business School.</t>
  </si>
  <si>
    <t xml:space="preserve">The qualifications cover only a doctorate in IS or an equivalent field, strong scholarship and teaching, and interest in blockchain/fintech. Professional or industry experience is not mentioned.</t>
  </si>
  <si>
    <t xml:space="preserve">Doctoral degree in Information Systems or an equivalent field. Preferred: strong research and teaching record and demonstrated interest in blockchain and fintech. Research focus is blockchain (any application area, fintech especially welcome). Teaches graduate and undergraduate courses. Application: cover letter, CV with 3 references, and teaching evaluations. Start date August 2027, which comes after the candidate's expected June 2027 PhD, so the role could be filled on OPT first.</t>
  </si>
  <si>
    <t xml:space="preserve">The user's labeled examples rate WPI IS/Blockchain as 5. It requires an IS PhD, which the candidate's Management Science/MIS degree meets. Blockchain and fintech research is not on the CV, so it is a topical stretch, but the field score holds. Aug 2027 start.</t>
  </si>
  <si>
    <t xml:space="preserve">https://www.higheredjobs.com/state/details.cfm?JobCode=179452750&amp;Title=Assistant+Professor+of+Information+Systems%2FBlock+Chain; https://academiccareers.com/job/176409/assistant-professor-of-information-systems-block-chain/; https://business.academickeys.com/seeker_job_display.php?dothis=display&amp;job%5BIDX%5D=277533-277533-rss; https://business.academickeys.com/seeker_job_display.php?dothis=display&amp;job%5BIDX%5D=275827-275827-rss; https://careers.conbio.org/job/1231927/assistant-professor-of-information-systems-block-chain/?TrackID=9; https://blacksinhighereducation.com/jobdetail-434206-assistant-professor-of-information-systems-block-chain</t>
  </si>
  <si>
    <t xml:space="preserve">The job is a good fit for an MIS PhD only if the research is blockchain or fintech. The posting says nothing about sponsorship, which is common for R1 tenure-track lines. WPI is a private R1 and is typically eligible to file H-1B petitions outside the cap. The AMCIS interview window has passed, so apply soon or email the search committee to confirm the role is still open. Sources: https://wpi.wd5.myworkdayjobs.com/en-US/WPI_External_Career_Site/job/Assistant-Professor-of-Information-Systems-Block-Chain_R0003454 ; https://academiccareers.com/job/176409/assistant-professor-of-information-systems-block-chain/ ; https://business.academickeys.com/seeker_job_display.php?dothis=display&amp;job%5BIDX%5D=275827-275827-rss</t>
  </si>
  <si>
    <t xml:space="preserve">Augusta University</t>
  </si>
  <si>
    <t xml:space="preserve">Open Rank Faculty in Artificial Intelligence &amp; Health</t>
  </si>
  <si>
    <t xml:space="preserve">https://careers.hprod.onehcm.usg.edu/psc/careers/CAREERS/HRMS/c/HRS_HRAM_FL.HRS_CG_SEARCH_FL.GBL?Page=HRS_APP_JBPST_FL&amp;Action=U&amp;FOCUS=Applicant&amp;SiteId=12000&amp;JobOpeningId=290816&amp;PostingSeq=1</t>
  </si>
  <si>
    <t xml:space="preserve">Department of Artificial Intelligence &amp; Health, Medical College of Georgia (the candidate list says Hull College of Business; search results say it is in the medical college)</t>
  </si>
  <si>
    <t xml:space="preserve">James M. Hull College of Business</t>
  </si>
  <si>
    <t xml:space="preserve">Open rank (Assistant / Associate / Full Professor)</t>
  </si>
  <si>
    <t xml:space="preserve">No closing or priority date appears in the search results. Aggregator listings for this posting and related Augusta postings show dates from September and October 2025, which is about a year ago, so the posting may be stale or may have been reposted (HigherEdJobs also has a related listing). Check the official USG OneHCM careers page (JobOpeningId 290816) before applying.</t>
  </si>
  <si>
    <t xml:space="preserve">Nothing found. The search results do not mention visa or H-1B sponsorship or work-authorization language for this role.</t>
  </si>
  <si>
    <t xml:space="preserve">Industry experience is not listed as a requirement. The duties include partnering with clinical and industry groups, but that is collaboration, not prior employment. The 'Required Qualifications' section was not visible in the snippets.</t>
  </si>
  <si>
    <t xml:space="preserve">Open rank (Assistant, Associate or Full), tenure track. Duties are AI research in healthcare (for example clinical decision support and medical imaging), teaching AI and health to medical students, residents and interdisciplinary learners, and seeking external grants. Applicants upload a CV, research statement, references and other materials as one document. The required qualifications (degree field, PhD-by-start) were not visible in the results.</t>
  </si>
  <si>
    <t xml:space="preserve">AI line housed in the Hull College of Business (per the candidate's own IS job-board list), so it scores 4 under the learned rubric (business-school AI/analytics line, not an IS-department line). Fits the candidate's ML/LLM and multimodal-data methods and AI-in-business teaching interest; the health application area is new to the candidate. Open rank includes Assistant. Dates were not visible in search results, so confirm the posting is current before applying.</t>
  </si>
  <si>
    <t xml:space="preserve">https://www.higheredjobs.com/faculty/details.cfm?JobCode=179243504; https://careers.insidehighered.com/job/3406524/open-rank-faculty-in-artificial-intelligence-and-health/</t>
  </si>
  <si>
    <t xml:space="preserve">The department is Artificial Intelligence &amp; Health in the Medical College of Georgia, not the Hull College of Business, so a PhD in MIS may be a weaker fit than for a business-school role. The posting appears to date from fall 2025, so whether it is still open is unclear. Sources: careers.insidehighered.com/job/3406524 and higheredjobs.com JobCode=179243504.</t>
  </si>
  <si>
    <t xml:space="preserve">Boston University</t>
  </si>
  <si>
    <t xml:space="preserve">Part-time Adjunct Faculty: Faculty Recruitment availability/interest form (Fall 2027)</t>
  </si>
  <si>
    <t xml:space="preserve">https://www.bu.edu/questrom/faculty/adjunct-recruitment/</t>
  </si>
  <si>
    <t xml:space="preserve">Questrom School of Business: school-wide adjunct pool. The Information Systems Department, chaired by Bin Gu, is one of the hiring departments.</t>
  </si>
  <si>
    <t xml:space="preserve">Questrom School of Business</t>
  </si>
  <si>
    <t xml:space="preserve">Adjunct / part-time instructor (per course)</t>
  </si>
  <si>
    <t xml:space="preserve">This is a rolling adjunct availability/interest form with no closing date. It asks about in-person availability for Fall 2027 (2 Sep - 19 Dec 2027), and it is not a formal application for a specific position. Search metadata suggests the page may be more than a year old, so confirm with Questrom that the form is current.</t>
  </si>
  <si>
    <t xml:space="preserve">Fall 2027 (as shown on the form; see the date caveat in verification_note)</t>
  </si>
  <si>
    <t xml:space="preserve">The Questrom Faculty Recruitment form (bu.edu/questrom/faculty/adjunct-recruitment/) asks: 'Are you legally authorized to work in the United States with no additional sponsorship required? (Required) Yes No' and adds 'Sorry, we are not able to hire Adjuncts without authorization to work in the US.' It also asks whether the authorization is time-limited and when it expires.</t>
  </si>
  <si>
    <t xml:space="preserve">No search result lists degree or experience requirements for adjunct roles. The form only collects a CV/resume, in-person semester and day/evening availability, and the number of courses wanted.</t>
  </si>
  <si>
    <t xml:space="preserve">Must teach all classes in person at Questrom (no hybrid). Part-time, per-course roles. No funded travel or parking. A CV/resume is required. The form is not an application for a specific posted position.</t>
  </si>
  <si>
    <t xml:space="preserve">This is a Questrom business-school teaching pool that the Information Systems Department draws on. The candidate could teach IS/analytics courses here, drawing on their experience as instructor of record for Intro to Connected Systems for Business (cloud, IoT, Azure labs), TA for Machine Learning for Business (Python) and the Intro to IT Management labs (~100 students), plus their stated interests in social media analytics, cloud, Python for business, ML and data analytics, and AI in business. I scored it 4, not 5, because the pool covers every Questrom department rather than being an IS-dedicated line, so IS is one area among many. Part-time status does not lower the score under the rubric. Practical risks: (1) the form is an expression of interest, not a formal job application; (2) teaching is in person only, in Boston, with no travel or parking support, which is hard to combine with finishing a UWM PhD in June 2027 or with a full-time job elsewhere; (3) per-course adjunct work is not a career-track research position, so it is at best a supplementary or fallback option for the Fall 2027 start.</t>
  </si>
  <si>
    <t xml:space="preserve">https://www.bu.edu/questrom/faculty/academic-departments/information-systems/; https://www.bu.edu/questrom/faculty/</t>
  </si>
  <si>
    <t xml:space="preserve">Questrom states it will not sponsor adjuncts. Post-PhD OPT (EAD) would count as US work authorization without sponsorship, and the form accepts time-limited authorization, so OPT could technically qualify. However, a per-course part-time job may fall under the 20 hours/week that OPT expects, and it gives no H-1B path. It would only make sense as a side job alongside a full-time OPT position. Because the form is not a formal application, it is low priority for the 10/18 submission list.</t>
  </si>
  <si>
    <t xml:space="preserve">College of William &amp; Mary</t>
  </si>
  <si>
    <t xml:space="preserve">Adjunct Faculty (Section Lead) Pool - Online Business Analytics Courses</t>
  </si>
  <si>
    <t xml:space="preserve">https://www.higheredjobs.com/faculty/details.cfm?JobCode=179257832</t>
  </si>
  <si>
    <t xml:space="preserve">Online graduate programs (Business Analytics courses; MSBA is housed in the Operations &amp; Information Systems Management area)</t>
  </si>
  <si>
    <t xml:space="preserve">Raymond A. Mason School of Business</t>
  </si>
  <si>
    <t xml:space="preserve">Adjunct Faculty / Section Lead (pool)</t>
  </si>
  <si>
    <t xml:space="preserve">This is a continuous adjunct pool. In the 2026-10-14 search the Business Analytics pool was still listed on jobs.virginia.gov ('Adjunct Faculty (Section Lead) Pool - Online Business Analytics Courses - Richmond, Virginia'), alongside sister pools for Accounting, Marketing and Management. No posting date, closing date or review date appeared in any result, so it is treated as rolling.</t>
  </si>
  <si>
    <t xml:space="preserve">Nothing found. The search snippets did not mention visa sponsorship or work authorization. Sponsorship is very unlikely for a part-time, per-section adjunct pool, but the posting does not say so.</t>
  </si>
  <si>
    <t xml:space="preserve">The snippets for the Business Analytics pool cut off before the qualifications section. The visible duties were completing online instructor orientation, reviewing syllabi before the term starts, and experience with Canvas or a similar LMS. No industry or practitioner experience requirement was seen. For comparison, the sister Marketing pool requires a master's in marketing or an MBA with a marketing concentration, and the Accounting pool prefers a doctorate plus an active CPA. Those are other departments' rules.</t>
  </si>
  <si>
    <t xml:space="preserve">Section Leads teach one or more 7.5-week asynchronous sections in the Online MS in Business Analytics and Online MBA programs. The role is remote, but the location is listed as within Virginia. The degree requirement for the analytics pool was not visible. Canvas/LMS experience is listed among the duties.</t>
  </si>
  <si>
    <t xml:space="preserve">Online MSBA business-analytics courses housed in Mason's Operations &amp; IS Management area. Business-school analytics lines score 4. Fit: ML for Business (Python) TA and the ML and analytics teaching interest. Part-time rolling pool; graduate teaching may favor experienced instructors.</t>
  </si>
  <si>
    <t xml:space="preserve">https://online.mason.wm.edu/mason-online/faculty; https://jobs.wm.edu/postings/search?1105%5B%5D=2&amp;commit=Search&amp;query=Mason+School+of+Business&amp;sort=1106+desc&amp;utf8=%E2%9C%93</t>
  </si>
  <si>
    <t xml:space="preserve">Part-time, per-course adjunct pool, not a full-time faculty line. It does not fit as a primary job for an F-1 candidate who needs H-1B sponsorship. Post-completion OPT employment generally needs to be about 20+ hours/week in the degree field, and a single adjunct section may not meet that. The 'remote within Virginia' location may also be a barrier. At most it could be a supplementary OPT-era teaching gig. Sources: jobs.virginia.gov listing (https://www.jobs.virginia.gov/jobs/adjunct-faculty-section-lead-pool-online-business-analytics-courses-richmond-virginia-united-states); W&amp;M Workday sister posting JR101887 (Marketing); HigherEdJobs 179257832 (Accounting sister pool).</t>
  </si>
  <si>
    <t xml:space="preserve">George Washington University</t>
  </si>
  <si>
    <t xml:space="preserve">Assistant Professor of Analytics and AI</t>
  </si>
  <si>
    <t xml:space="preserve">Not this posting - you applied to George Washington University on 2026-10-01 for another line; confirm if you also want this one</t>
  </si>
  <si>
    <t xml:space="preserve">https://business.gwu.edu/about/departments/decision-sciences#faculty</t>
  </si>
  <si>
    <t xml:space="preserve">Decision Sciences</t>
  </si>
  <si>
    <t xml:space="preserve">GW School of Business (GWSB)</t>
  </si>
  <si>
    <t xml:space="preserve">No closing or review date appeared in the gwu.jobs snippet or the other results, so the full posting needs to be checked. The posting is still listed on the GW Employment Site (gwu.jobs) for a start as early as Fall 2027. The sister ISTM cluster posting begins review on 2026-10-26, so a similar late-October review is possible, but that date is not confirmed for this line. Applying before 10/18 is recommended.</t>
  </si>
  <si>
    <t xml:space="preserve">As early as Fall 2027</t>
  </si>
  <si>
    <t xml:space="preserve">nothing found. The gwu.jobs snippet and the department pages say nothing about visa sponsorship or work authorization.</t>
  </si>
  <si>
    <t xml:space="preserve">The posting snippet focuses on research. It says the department particularly welcomes methodological research that develops algorithms and mathematical models, and it mentions no industry experience.</t>
  </si>
  <si>
    <t xml:space="preserve">The current qualifications were cut off in the snippet. An older (2019) GW Decision Sciences analytics tenure-track posting required a PhD in MS/OR, statistics, IE, CS or a related field by the date of appointment. It also expected potential for outstanding research and excellence in teaching at the undergraduate and graduate levels. That likely applies here too, but it is unverified for 2026. A PhD expected June 2027 would fit a Fall 2027 start.</t>
  </si>
  <si>
    <t xml:space="preserve">Analytics &amp; AI line in Decision Sciences (business school), which scores 4. Fit: ML/LLM and multimodal methods, AI-in-business teaching. Risk: may favor methodological algorithm and model development over IS econometrics. Fall 2027.</t>
  </si>
  <si>
    <t xml:space="preserve">https://www.gwu.jobs/postings/search</t>
  </si>
  <si>
    <t xml:space="preserve">Full-time tenure-track Assistant Professor of Analytics and AI in Decision Sciences at the GW School of Business, starting as early as Fall 2027. GW is a private R1 university and is not a federal institution, and no citizenship requirement was found. OPT could cover the start, but H-1B sponsorship is not confirmed and should be asked about. The $190K-$205K salary is from the ISTM listing and is not confirmed for this line. Sources: https://www.gwu.jobs/postings/search ; https://business.gwu.edu/academics/departments/decision-sciences/faculty ; https://bayesian.org/tenure-track-faculty-position-in-analytics-at-george-washington-university/</t>
  </si>
  <si>
    <t xml:space="preserve">Limited-Term Instructor of Computer Information Systems (CIS), Posting PTI00142P</t>
  </si>
  <si>
    <t xml:space="preserve">https://facultycareers.gsu.edu/postings/5029</t>
  </si>
  <si>
    <t xml:space="preserve">Perimeter College: Computer Information Systems discipline</t>
  </si>
  <si>
    <t xml:space="preserve">Perimeter College (GSU's associate-degree college); applications go to perimetercareers@gsu.edu</t>
  </si>
  <si>
    <t xml:space="preserve">Limited-term instructor (full-time, non-tenure-track)</t>
  </si>
  <si>
    <t xml:space="preserve">No closing date appears in any listing. Portal posting 5029 (PTI00142P) dates from around Nov 2024 and is Internal/External. Chronicle has reposted it (jobs 38029624 and 38040961), so it looks like an evergreen posting filled semester to semester. Treat it as rolling.</t>
  </si>
  <si>
    <t xml:space="preserve">Not stated (semester-to-semester; probably Spring 2027 or later)</t>
  </si>
  <si>
    <t xml:space="preserve">nothing found. The portal (Full Time Faculty, Internal/External), Chronicle and HigherEdJobs listings found in search do not mention visa sponsorship.</t>
  </si>
  <si>
    <t xml:space="preserve">The search results did not show the required or preferred qualifications. No industry experience requirement was seen.</t>
  </si>
  <si>
    <t xml:space="preserve">The qualifications text was not retrieved. Perimeter College instructor roles normally need a master's degree with 18 graduate hours in the discipline (as in PTI00194P), but this is not confirmed for this posting. Duties are 18 semester hours of teaching per semester, advising, and about 10 office hours a week. Hiring is semester to semester, renewable for at most 3 semesters, and depends on enrollment. Contacts are Dr. Nicole Lynch (nlynch@gsu.edu) and perimetercareers@gsu.edu.</t>
  </si>
  <si>
    <t xml:space="preserve">This is a full-time CIS teaching role, so the field is a direct match. Teaching evidence: the candidate was instructor of record for Intro to Connected Systems for Business (cloud, IoT, Azure labs), TA'd Intro to IT Management labs for about 100 students and ML for Business in Python, and lists IS for business, cloud and Python among their teaching interests. I scored it 4 rather than 5 because the unit is Perimeter College's two-year business/CIS discipline, not Robinson's CIS department. Major risks: it is a short-term role (at most 3 semesters) with a very heavy load of 18 credit hours per semester and no research component, which is a poor use of the ISR R&amp;R and MISQ pipeline. The likely semester-start timing (possibly Spring 2027) also conflicts with finishing the dissertation by June 2027. It is a fallback or bridge option at best.</t>
  </si>
  <si>
    <t xml:space="preserve">https://jobs.chronicle.com/job/38029624/limited-term-instructor-of-computer-information-systems-cis-/; https://www.higheredjobs.com/state/details.cfm?JobCode=178980304&amp;Title=Limited-Term+Instructor+Of+Computer+Information+Systems+%28CIS%29; https://jobs.chronicle.com/job/38040961/limited-term-instructor-of-computer-information-systems-cis-/</t>
  </si>
  <si>
    <t xml:space="preserve">This is full-time work, so it could run on post-completion OPT once the PhD is conferred (June 2027), for example from Fall 2027. However, the role is capped at 3 semesters and no sponsorship is stated, so it is at most a short bridge and not a route to H-1B. An earlier start (Spring 2027) would come before the degree and would need CPT. Confirm sponsorship with perimetercareers@gsu.edu.</t>
  </si>
  <si>
    <t xml:space="preserve">Assistant Professor of Data Analytics/Supply Chain/Business Administration</t>
  </si>
  <si>
    <t xml:space="preserve">https://www.higheredjobs.com/faculty/details.cfm?JobCode=179415581</t>
  </si>
  <si>
    <t xml:space="preserve">Department of Business Administration</t>
  </si>
  <si>
    <t xml:space="preserve">Review of applications begins immediately and continues until the position is filled; there is no fixed deadline. The HigherEdJobs listing (JobCode 179415581) and Chronicle listing (37992085, posted May 21, 2026) still show up in search on 2026-10-14. Neither result shows a closure. The application packet is a Hampton faculty application, a teaching commitment letter, a CV and three letters of recommendation on letterhead.</t>
  </si>
  <si>
    <t xml:space="preserve">'Fall' (the year is cut off in the HigherEdJobs snippet). Given the April/May 2026 posting dates, it is probably Fall 2026, possibly rolling to Fall 2027. Not confirmed.</t>
  </si>
  <si>
    <t xml:space="preserve">nothing found. Neither the HigherEdJobs nor the Chronicle listing mentions visa sponsorship or work authorization.</t>
  </si>
  <si>
    <t xml:space="preserve">No industry experience requirement appears. Preference goes to 'candidates with experience and knowledge in supply chain, operations management business, data analytics and/or related areas'. That is subject-area experience, not explicitly industry experience.</t>
  </si>
  <si>
    <t xml:space="preserve">A PhD in Business Administration, Management, Supply Chain, Data Analytics or a related field is required for appointment at the Assistant Professor rank. Duties include academic advising, recruitment to grow department enrollment, high-quality research and grant writing. Salary is $90,000-$100,000 depending on qualifications.</t>
  </si>
  <si>
    <t xml:space="preserve">Business-school line led by data analytics (with SCM/OM/business administration), which scores 4. Fit: Python, ML analytics teaching and econometrics. Risks: the start may be Fall 2026 (possibly filled); tenure status not stated; SCM duties fall outside the CV.</t>
  </si>
  <si>
    <t xml:space="preserve">https://jobs.chronicle.com/job/37992085/assistant-professor-of-data-analytics-supply-chain-business-administration/; https://home.hamptonu.edu/hr/posts-faculty/2/; https://home.hamptonu.edu/hr/faculty-opportunities/; https://www.indeed.com/cmp/Hampton-University/jobs/q-Faculty</t>
  </si>
  <si>
    <t xml:space="preserve">Tenure status is not stated, so the tenure-track classification is assumed from the Assistant Professor rank and the research and grant-writing duties. The start is 'Fall' with the year not shown, so it may be Fall 2026 or Fall 2027. The PhD seems to be required at appointment, and yours is expected June 2027, so ask about the start year. Your MIS/analytics background fits the data analytics part of the role.</t>
  </si>
  <si>
    <t xml:space="preserve">Howard University</t>
  </si>
  <si>
    <t xml:space="preserve">Assistant Professor (Business Analytics), tenure-track</t>
  </si>
  <si>
    <t xml:space="preserve">https://howard.wd1.myworkdayjobs.com/en-US/HU/job/Assistant-Professor_JR107320-1</t>
  </si>
  <si>
    <t xml:space="preserve">Information Systems &amp; Supply Chain Management (ISSCM)</t>
  </si>
  <si>
    <t xml:space="preserve">School of Business</t>
  </si>
  <si>
    <t xml:space="preserve">Assistant Professor (the earlier sweep said Assistant or Associate)</t>
  </si>
  <si>
    <t xml:space="preserve">The search found the Workday posting JR107320-1 still listed, but it shows no deadline, review date or posting date. A different ISSCM posting had an application due date of 10/16/2025, which has passed and does not apply to this job. Workday postings usually come down when a job closes, so this one is probably still open, but that is not confirmed. Check the Workday page directly or ask the department chair, Dr. Efosa C. Idemudia (efosa.idemudia@howard.edu).</t>
  </si>
  <si>
    <t xml:space="preserve">Not stated (requires a PhD or near-complete ABD by the start date; a 2027 start is assumed, not confirmed)</t>
  </si>
  <si>
    <t xml:space="preserve">nothing found. The search returned no visa or H-1B language for JR107320, and nothing on Howard HR pages about this job.</t>
  </si>
  <si>
    <t xml:space="preserve">Minimum qualifications are a quantitative PhD (or near-complete ABD), evidence of scholarship and teaching effectiveness. The search showed no industry or professional experience requirement.</t>
  </si>
  <si>
    <t xml:space="preserve">By the start date: a PhD in a quantitative field (e.g. business analytics, statistics, operations research), or ABD with near-term completion. Also required: evidence of scholarly achievement (publications or a strong pipeline in high-quality outlets) and demonstrated effectiveness in teaching and communication. Rank and salary depend on qualifications; one listing gives $110,000-$125,000.</t>
  </si>
  <si>
    <t xml:space="preserve">This is a Business Analytics line inside a business school's IS &amp; Supply Chain Management department, which scores 4 under the rubric (business-school analytics line in a combined IS-inclusive unit). The CV matches it closely. The candidate's research uses econometrics and causal inference, time series, ML/LLMs and multimodal text/audio/video data on creator-economy, influencer and platform-governance topics. Their pipeline includes an ISR R&amp;R, an MISQ submission under review and HICSS/AMCIS/ICIS/INFORMS papers. They have taught as instructor of record for Intro to Connected Systems for Business (cloud/Azure) and as TA for ML for Business (Python), and list analytics, Python and AI-in-business as teaching interests. Risks: the PhD is expected June 2027, so the candidate is ABD; the posting accepts near-complete ABD by the start date. The bigger risk is timing, because the posting cycle is unverified and may be a 2025 listing.</t>
  </si>
  <si>
    <t xml:space="preserve">https://www.higheredjobs.com/faculty/details.cfm?JobCode=179086040; https://business.howard.edu/departments/information-systems-supply-chain-management</t>
  </si>
  <si>
    <t xml:space="preserve">Full-time tenure-track Business Analytics line in the ISSCM department of the School of Business. The role covers research and teaching analytics at undergraduate and graduate levels. A candidate who is ABD with a PhD expected June 2027 meets the ABD clause if the job starts in fall 2027 or later. The posting says nothing on sponsorship either way, so OPT followed by an H-1B request is possible but not confirmed; check with HR. Sources: https://howard.wd1.myworkdayjobs.com/en-US/HU/job/Assistant-Professor_JR107320-1 ; https://www.higheredjobs.com/faculty/details.cfm?JobCode=179260349 ; https://business.howard.edu/departments/information-systems-supply-chain-management</t>
  </si>
  <si>
    <t xml:space="preserve">Johns Hopkins University</t>
  </si>
  <si>
    <t xml:space="preserve">Operations Management &amp; Business Analytics Faculty Position (Open Rank), Non-tenure Track (Practice-Track)</t>
  </si>
  <si>
    <t xml:space="preserve">LIKELY - sponsorship not stated (ask HR); can start on OPT (industry experience preferred, not required) - CAUTION: "Professor of Practice" titles usually expect industry experience; ask before applying</t>
  </si>
  <si>
    <t xml:space="preserve">https://apply.interfolio.com/187586</t>
  </si>
  <si>
    <t xml:space="preserve">Operations Management &amp; Business Analytics</t>
  </si>
  <si>
    <t xml:space="preserve">Carey Business School</t>
  </si>
  <si>
    <t xml:space="preserve">Open rank, practice track: Lecturer, Senior Lecturer, or Assistant/Associate/Full Professor of Practice depending on qualifications</t>
  </si>
  <si>
    <t xml:space="preserve">MD</t>
  </si>
  <si>
    <t xml:space="preserve">The Chronicle, InsideHigherEd, HERC and INFORMS listings all say applications are reviewed by the search committee and accepted until the position is filled, with interviews in Fall 2026. No closing date was found. One ZipRecruiter copy showed a valid-through date of 2026-10-12, but the Interfolio and Chronicle wording is still rolling. The search is already in its interview season, so apply right away.</t>
  </si>
  <si>
    <t xml:space="preserve">January 2027 or later</t>
  </si>
  <si>
    <t xml:space="preserve">Nothing in the posting copies found (Chronicle, InsideHigherEd, Interfolio 187586, INFORMS, ZipRecruiter) addresses visa sponsorship. The JHU Office of International Services H-1B page says only full-time positions qualify for H-1B sponsorship consideration. This role is full-time, so it is eligible to be considered, but that is not a commitment to sponsor.</t>
  </si>
  <si>
    <t xml:space="preserve">This is a practice-track role. Rank (Lecturer, Senior Lecturer, Assistant or Associate Professor of Practice) depends on the candidate's 'level of academic and/or professional experience.' 'Successful prior engagement in business/policy related activities preferred.' No specific number of years of industry experience is listed as required.</t>
  </si>
  <si>
    <t xml:space="preserve">A PhD in Operations Management, Business Analytics or a related field is required for the Professor of Practice ranks. For Lecturer or Senior Lecturer, a PhD is strongly preferred but a master's degree is enough. Teaching experience at a business or graduate professional school is highly desirable. Submit a cover letter, CV, three references and evidence of teaching effectiveness via Interfolio. Starts January 2027 or later. Based in Baltimore, MD or Washington, DC, teaching in both. Salary is about $95K-$230K depending on rank.</t>
  </si>
  <si>
    <t xml:space="preserve">Business-analytics practice line (ML, AI for Business Analytics, Data Visualization, Statistics) maps to the candidate's TA in ML for Business (Python), ML/LLM methods and AI-in-business teaching interest. Risks: practice track favors industry experience (the candidate has none); Jan 2027 start precedes June 2027 PhD - ask for Fall 2027.</t>
  </si>
  <si>
    <t xml:space="preserve">https://careers.insidehighered.com/job/3519307/operations-management-and-business-analytics-faculty-position-open-rank-non-tenure-track/; https://jobs.chronicle.com/job/37996390/operations-management-and-business-analytics-faculty-position-open-rank-non-tenure-track/; https://www.ziprecruiter.com/c/Johns-Hopkins-University/Job/Operations-Management-&amp;-Business-Analytics-Faculty-Position-(Open-Rank),-Non-tenure-Track/-in-Baltimore,MD?jid=a0be227b19cc4d97; https://connect.informs.org/communities/community-home/digestviewer/viewthread?GroupId=469&amp;MessageKey=93d06bb3-1af9-4fe7-99f5-59893cf4532f&amp;CommunityKey=1d5653fa-85c8-46b3-8176-869b140e5e3c&amp;tab=digestviewer&amp;hlmlt=VT</t>
  </si>
  <si>
    <t xml:space="preserve">This is a full-time, non-tenure practice role, so post-completion OPT (after the June 2027 PhD) could cover an initial start, and the role is full-time and so eligible for JHU H-1B consideration. With no industry experience, the candidate would likely be placed at Lecturer or Assistant Professor of Practice rank. Industry engagement is only preferred, not required. A January 2027 start comes before the expected PhD date (June 2027), so the start date would need to be negotiated to after degree completion and OPT. Sponsorship should be confirmed with the search committee.</t>
  </si>
  <si>
    <t xml:space="preserve">AY27 Adjunct Faculty - All Business School Disciplines</t>
  </si>
  <si>
    <t xml:space="preserve">https://jobs.chronicle.com/job/38009688/ay27-adjunct-faculty-all-business-school-disciplines/</t>
  </si>
  <si>
    <t xml:space="preserve">All business school disciplines (includes Information Systems)</t>
  </si>
  <si>
    <t xml:space="preserve">Adjunct faculty (non-tenure-track, per course)</t>
  </si>
  <si>
    <t xml:space="preserve">This is a rolling AY27 (2026-27) adjunct pool posted 2026-07-01 on the Chronicle (38009688), also on Inomics. No closing date is shown. An older 'Adjunct Faculty - All Business School Disciplines' listing (Chronicle 37853805 / HigherEdJobs) is the prior-cycle version.</t>
  </si>
  <si>
    <t xml:space="preserve">AY27 terms (AY 2026-27)</t>
  </si>
  <si>
    <t xml:space="preserve">The posting has no sponsorship or work-authorization language. The JHU OIS H-1B page says only full-time positions qualify for H-1B sponsorship consideration at Johns Hopkins, and this adjunct role is part-time and paid per course. That makes H-1B sponsorship effectively unavailable, though this is inferred from university policy and the posting does not say it.</t>
  </si>
  <si>
    <t xml:space="preserve">Industry experience is not mentioned. The minimum is a master's or other advanced degree in a relevant field. Preferred qualifications are a terminal degree, 1-3 years of graduate-level teaching experience and online teaching experience.</t>
  </si>
  <si>
    <t xml:space="preserve">Master's degree minimum, with a terminal degree preferred. Submit a cover letter, CV and teaching evaluations from the last two years via Interfolio. Pay is $10,000-$11,000 per course. A background check and degree verification follow a contingent offer.</t>
  </si>
  <si>
    <t xml:space="preserve">Multi-discipline Carey adjunct pool that explicitly includes Information Systems; the candidate could teach IS/cloud (instructor of record, Connected Systems for Business, Azure labs) or Python/ML. Scored 4 since IS is one area of an all-discipline pool. Risk: per-course part-time in Baltimore/DC during AY 2026-27 while ABD.</t>
  </si>
  <si>
    <t xml:space="preserve">This is a part-time, per-course adjunct pool, not a full-time faculty line, and it is not sponsorable for H-1B under JHU policy (full-time only). AY27 terms fall before the June 2027 PhD, so the candidate would need CPT while on F-1. After graduation, per-course adjunct work may not meet OPT's 20-hours-per-week employment threshold. This is a weak fit for the candidate's sponsorship needs.</t>
  </si>
  <si>
    <t xml:space="preserve">Ohio State University</t>
  </si>
  <si>
    <t xml:space="preserve">Assistant Clinical-Track Faculty: Business Analytics</t>
  </si>
  <si>
    <t xml:space="preserve">Not this posting - you applied to Ohio State University on 2026-09-15 for another line; confirm if you also want this one</t>
  </si>
  <si>
    <t xml:space="preserve">https://careers.insidehighered.com/job/3560822/assistant-clinical-track-faculty-business-analytics/</t>
  </si>
  <si>
    <t xml:space="preserve">Department of Operations and Business Analytics</t>
  </si>
  <si>
    <t xml:space="preserve">Fisher College of Business</t>
  </si>
  <si>
    <t xml:space="preserve">Assistant Clinical Professor (clinical track, Assistant rank)</t>
  </si>
  <si>
    <t xml:space="preserve">No closing or priority date appeared in the search results. The Inside Higher Ed listing (job 3560822) is still live and advertises an Autumn 2027 start, so the posting appears to be in the current hiring cycle. Check the closing date on the full OSU Workday posting and apply soon, before 2026-10-18 if possible.</t>
  </si>
  <si>
    <t xml:space="preserve">Autumn 2027 semester</t>
  </si>
  <si>
    <t xml:space="preserve">nothing found. The search snippets for the Inside Higher Ed listing do not mention visa or H-1B sponsorship or say that applicants must be authorized to work without sponsorship.</t>
  </si>
  <si>
    <t xml:space="preserve">The retrieved snippets do not mention any industry or practitioner experience requirement. Clinical-track roles sometimes prefer practical experience, so check the full qualifications section of the Workday posting.</t>
  </si>
  <si>
    <t xml:space="preserve">Full-time Clinical-Track (Assistant rank) faculty position in Business Analytics, Department of Operations and Business Analytics, Fisher College of Business. It starts in Autumn semester 2027. The hire would teach undergraduate, graduate and executive education students. Teaching and curriculum development in business analytics and AI are the main performance objectives, and some scholarly output is also expected. The salary is described as competitive with leading research universities. The degree requirement and timing (for example, PhD in hand by the start date) were not shown in the results.</t>
  </si>
  <si>
    <t xml:space="preserve">Clinical Business Analytics &amp; AI line: matches the candidate's ML/LLM methods, TA in ML for Business (Python) and AI-in-business / ML &amp; data analytics teaching interests. Autumn 2027 start fits June 2027 PhD.</t>
  </si>
  <si>
    <t xml:space="preserve">Clinical track means non-tenure-track, but the role is full-time and long-term, so it fits OPT followed by H-1B. Ohio State is a public university and is H-1B cap-exempt. This search found nothing saying the role excludes sponsorship. The only source returned was the Inside Higher Ed listing: https://careers.insidehighered.com/job/3560822/assistant-clinical-track-faculty-business-analytics/</t>
  </si>
  <si>
    <t xml:space="preserve">Oklahoma State University</t>
  </si>
  <si>
    <t xml:space="preserve">Instructor/Assistant/Associate/Full Professor of Professional Practice</t>
  </si>
  <si>
    <t xml:space="preserve">Not this posting - you applied to Oklahoma State University on 2026-09-15 for another line; confirm if you also want this one</t>
  </si>
  <si>
    <t xml:space="preserve">https://jobs.okstate.edu/jobs/instructor-of-professional-practice-22154-stillwater-oklahoma-united-states-payne-county?applicant_id=A71A9E4B-434B-4419-87FA-F03DD916D799&amp;ad_id=38769D6A-0B7C-44FE-85D3-CDC9826CD8E5</t>
  </si>
  <si>
    <t xml:space="preserve">Management Science and Information Systems (MSIS)</t>
  </si>
  <si>
    <t xml:space="preserve">Spears School of Business</t>
  </si>
  <si>
    <t xml:space="preserve">Open rank, Professional Practice track (Instructor through Full Professor of Professional Practice)</t>
  </si>
  <si>
    <t xml:space="preserve">No closing date was found. The one extended search did not return the requisition 22154 posting page, only MSIS department pages and a different MSIS tenure-track posting (210018, Fall 2027 start). Treat it as rolling or open until filled, and confirm on jobs.okstate.edu.</t>
  </si>
  <si>
    <t xml:space="preserve">Nothing found. The search returned no visa or H-1B language for requisition 22154 or for OSU Professional Practice roles.</t>
  </si>
  <si>
    <t xml:space="preserve">No posting text was retrieved, so no stated experience requirement was found. 'Professor of Professional Practice' is a practitioner track, though, and such postings usually expect substantial professional or industry experience. MSIS faculty on this track (for example Jim Burkman, Professor of Professional Practice and MS-MIS Coordinator) seem to come from practice. For a candidate with no industry experience, a required-experience clause is a real risk until the posting text is checked.</t>
  </si>
  <si>
    <t xml:space="preserve">Not confirmed from the posting. It is an open-rank Professional Practice track (Instructor through Full Professor of Professional Practice) in Spears School of Business MSIS, full-time and non-tenure-track. The 210018 MSIS posting also mentions a separate 'Assistant Professor of Professional Practice' opening (AF8119), with no details found.</t>
  </si>
  <si>
    <t xml:space="preserve">This is a business-school teaching line in a Management Science &amp; Information Systems department. The rubric scores combined MS&amp;IS departments at 4; it would move to 5 if the posting proves IS-specific. OSU's MSIS unit runs the MIS major and MS in MIS. That fits the candidate's teaching record as instructor of record for Intro to Connected Systems for Business (cloud, IoT, Azure labs) and TA for ML for Business (Python) and Intro to IT Management labs (~100 students). It also fits their teaching interests in IS for business, Python, cloud, ML/data analytics and AI in business. Risks: professor-of-practice lines usually want industry experience, which the candidate does not have, so the Instructor and Assistant levels are the realistic entry points. The Associate and Full levels are out of reach for an ABD. The candidate is ABD with the PhD expected June 2027, so the start date needs to line up with Summer/Fall 2027. The research pipeline (ISR R&amp;R, MISQ under review) carries little weight on a teaching line. None of these risks change the field-based score.</t>
  </si>
  <si>
    <t xml:space="preserve">https://catalog.okstate.edu/spears-business/management-science-information-systems/; https://directory.okstate.edu/index.php/module/Default/action/ViewDepartment?id=978</t>
  </si>
  <si>
    <t xml:space="preserve">Only one search was run, and it did not surface the 22154 posting, so sponsorship, the experience requirement and the deadline are all unverified. A tenure-track MSIS Assistant Professor posting (210018, Fall 2027 start) exists at jobs.okstate.edu/jobs/assistant-professor-management-science-information-systems-210018-stillwater-oklahoma-united-states and may suit an MIS PhD candidate better. Sources: business.okstate.edu/departments_programs/msis/meet_the_department; jobs.okstate.edu posting 210018.</t>
  </si>
  <si>
    <t xml:space="preserve">Instructor Pool - 2026/2027: Marketing, Analytics and Design</t>
  </si>
  <si>
    <t xml:space="preserve">https://oregonstate.wd501.myworkdayjobs.com/en-US/OSU_Careers_Site/job/Instructor-Pool---2026-2027--Marketing--Analytics-and-Design_JR0000390</t>
  </si>
  <si>
    <t xml:space="preserve">School of Marketing, Analytics and Design</t>
  </si>
  <si>
    <t xml:space="preserve">No closing date. The OSU Workday posting JR0000390 says: 'Applications will be considered throughout the 2026–2027 Academic Year, as opportunities become available.' Freehire lists it as posted Jul 30, 2026 and updated Sep 2, 2026, with an anticipated appointment window of about 2026-12-16 to 2027-06-15.</t>
  </si>
  <si>
    <t xml:space="preserve">As needed during AY 2026-27 (aggregator: anticipated 2026-12-16 to 2027-06-15)</t>
  </si>
  <si>
    <t xml:space="preserve">Nothing found. The search results (OSU Workday, freehire, HigherEdJobs) do not mention visa sponsorship or work authorization.</t>
  </si>
  <si>
    <t xml:space="preserve">Required: a master's degree in an appropriate business-related field. Preferred: a PhD in a relevant business field, college or university teaching experience, and evidence of mentoring diverse learners. No industry or professional experience is listed.</t>
  </si>
  <si>
    <t xml:space="preserve">Master's degree in a business-related field is required. PhD and college-level teaching experience are preferred. Apply with a CV and a cover letter that names the course modalities you can teach (online, in-person or both). Teaching areas include Marketing, Professional Sales, Business Analytics, Business Statistics, Business Law, Sports Business, and Design &amp; Innovation Management. Contact: Aimee Huff (Aimee.Huff@oregonstate.edu, 541-737-3688).</t>
  </si>
  <si>
    <t xml:space="preserve">Part-time pool in School of Marketing, Analytics &amp; Design whose named areas include Business Analytics and Business Statistics; the candidate can teach analytics/stats from ML for Business TA and econometrics. Scored as BA (4). Risk: term-by-term in-person Corvallis, AY 2026-27 while ABD.</t>
  </si>
  <si>
    <t xml:space="preserve">https://freehire.me/jobs/instructor-pool-2026-2027-marketing-analytics-and-design-oregon-state-university-vajouime</t>
  </si>
  <si>
    <t xml:space="preserve">This is a part-time, term-by-term pool with varied FTE, not a full-time faculty line. An H-1B for it is unlikely in practice. The appointment window ends 2027-06-15, before the PhD is expected (June 2027), so post-completion OPT would not cover it. Any work during AY 2026-27 would need CPT or pre-completion OPT and approval from the school's international student office. Business Analytics and Business Statistics fit an MIS background. Low priority, but there is no deadline.</t>
  </si>
  <si>
    <t xml:space="preserve">Rowan University</t>
  </si>
  <si>
    <t xml:space="preserve">Non-Tenure Track Assistant or Associate Teaching Professor Faculty Position, Department of Marketing &amp; Business Information Systems</t>
  </si>
  <si>
    <t xml:space="preserve">https://jobs.rowan.edu/</t>
  </si>
  <si>
    <t xml:space="preserve">Department of Marketing &amp; Business Information Systems</t>
  </si>
  <si>
    <t xml:space="preserve">William G. Rohrer College of Business</t>
  </si>
  <si>
    <t xml:space="preserve">Assistant or Associate Teaching Professor (non-tenure-track)</t>
  </si>
  <si>
    <t xml:space="preserve">Neither search found a closing date, review date or posting date. Aggregators (Indeed and Glassdoor via Chronicle) show the listing active and posted 30+ days ago, so it is probably still open with rolling review. Confirm on jobs.rowan.edu.</t>
  </si>
  <si>
    <t xml:space="preserve">Nothing found for this posting. The only no-sponsorship statement found belongs to the department's adjunct listing (r91), not this full-time teaching role. Rowan's international pages found only cover J-1 visiting scholars and F-1 student advising, not H-1B for faculty hires.</t>
  </si>
  <si>
    <t xml:space="preserve">The snippet lists only academic qualifications: a PhD or its professional equivalent in information systems, or in information systems and analytics. No industry or practitioner experience requirement was seen, but the snippet was cut off.</t>
  </si>
  <si>
    <t xml:space="preserve">PhD (or professional equivalent) in information systems, or information systems and analytics (per a cut-off aggregator snippet). Whether an ABD candidate is accepted is not stated, and teaching-experience requirements were not visible. Rank is Assistant or Associate Teaching Professor, full-time non-tenure-track.</t>
  </si>
  <si>
    <t xml:space="preserve">Teaching line in combined Marketing &amp; Business Information Systems dept (IS is one area = 4); if it is the BIS line it fits the candidate's IS teaching record at the 5 level, if marketing it drops. Confirm area and start date.</t>
  </si>
  <si>
    <t xml:space="preserve">https://jobs.chronicle.com/employer/e5b163db-1843-4158-bbaa-8c81648a6284/rowan-university; https://jobs.chronicle.com/employer/e5b163db-1843-4158-bbaa-8c81648a6284/rowan-university/hub/jobs</t>
  </si>
  <si>
    <t xml:space="preserve">Plausible fit for an MIS PhD. Sponsorship is unknown, so ask Rowan HR or the department whether it will sponsor an H-1B for a non-tenure-track teaching line. OPT after the June 2027 PhD could cover the start. A similar Rohrer posting exists in the Department of Management (Chronicle job 37957981), which is a different department. Sources: https://jobs.chronicle.com/employer/e5b163db-1843-4158-bbaa-8c81648a6284/rowan-university/hub/jobs ; https://jobs.chronicle.com/job/37957981/</t>
  </si>
  <si>
    <t xml:space="preserve">Rutgers University-Camden</t>
  </si>
  <si>
    <t xml:space="preserve">Part-Time Lecturers, Various Disciplines, School of Business, AY 2026/2027 (pool; posting 26FA0672)</t>
  </si>
  <si>
    <t xml:space="preserve">https://jobs.rutgers.edu/postings/278711</t>
  </si>
  <si>
    <t xml:space="preserve">School of Business (multiple disciplines)</t>
  </si>
  <si>
    <t xml:space="preserve">Rutgers School of Business–Camden</t>
  </si>
  <si>
    <t xml:space="preserve">The official posting (jobs.rutgers.edu/postings/278711, 26FA0672) shows an open date of 07/13/2026. Its close-date field was blank in the retrieved text. No closure or filled notice was found. This is a rolling part-time pool for AY 2026/2027 that hires per semester.</t>
  </si>
  <si>
    <t xml:space="preserve">AY 2026/2027 (per semester; Spring and Summer 2027 sections possible)</t>
  </si>
  <si>
    <t xml:space="preserve">Nothing found. The search returned the posting text: 'Lecturers, Various Disciplines, School of Business', part-time, AY 2026/2027, minimum $2,777 per credit. It had no visa or work-authorization language, and the Special Instructions to Applicants section was empty. Per-course adjunct roles are rarely H-1B sponsored, but the posting does not say so.</t>
  </si>
  <si>
    <t xml:space="preserve">Industry or professional work experience is not mentioned. The stated requirements are an advanced degree in addition to a bachelor's and prior teaching experience in higher education.</t>
  </si>
  <si>
    <t xml:space="preserve">An advanced degree in addition to a bachelor's. Prior higher-education teaching experience. Face-to-face daytime teaching on the Camden, NJ campus or at community-college sites. Pay is per course, minimum $2,777 per credit, subject to qualifications and funding. Disciplines include Statistics, Information Technology, Optimization and Modeling, and Marketing Analytics.</t>
  </si>
  <si>
    <t xml:space="preserve">Multi-discipline PT lecturer pool explicitly including IT, statistics, optimization and marketing analytics; the candidate can teach IT/cloud and analytics. Scored 4 (IS one area of a general pool). Risk: per-course, in-person Camden while ABD.</t>
  </si>
  <si>
    <t xml:space="preserve">https://jobs.rutgers.edu/postings/278708; https://business.camden.rutgers.edu/prospective-faculty/</t>
  </si>
  <si>
    <t xml:space="preserve">This is a part-time per-course adjunct pool, not a career-track job. For an F-1 student this is an inference, not stated in the posting. Spring 2027 sections fall before the June 2027 PhD, so they would need CPT or pre-completion OPT from the candidate's own school. A per-course load after graduation may fall short of the 20 hours a week that post-completion OPT employment needs. It does not lead to H-1B. Source: https://jobs.rutgers.edu/postings/278711</t>
  </si>
  <si>
    <t xml:space="preserve">Rutgers University-New Brunswick</t>
  </si>
  <si>
    <t xml:space="preserve">Management Science and Information Systems Assistant Professor of Professional Practice</t>
  </si>
  <si>
    <t xml:space="preserve">https://jobs.rutgers.edu/postings/279358</t>
  </si>
  <si>
    <t xml:space="preserve">Assistant Professor of Professional Practice (non-tenure-track)</t>
  </si>
  <si>
    <t xml:space="preserve">Posting 26FA0360 opened 05/05/2026 and has no close date, so it is rolling. The Chronicle copy was posted 2026-07-24. Anticipated start is January 2027, so it may be filled soon.</t>
  </si>
  <si>
    <t xml:space="preserve">January 2027 (anticipated)</t>
  </si>
  <si>
    <t xml:space="preserve">nothing found. The search summary says the results (Rutgers jobs site, Chronicle, DisabledPerson, HigherEdJobs) do not mention sponsorship or visa support.</t>
  </si>
  <si>
    <t xml:space="preserve">Posting text: candidates 'should have experience as practitioners and/or have a track record of effective teaching' in business analytics and IT courses (applied statistics, data analytics, data mining, operations research). Practitioner experience is one of two alternatives, so teaching experience can satisfy it instead. It is also a professor-of-practice title, which usually favors practitioners.</t>
  </si>
  <si>
    <t xml:space="preserve">Master's or Ph.D. in information technology, operations research, or a closely related field. Good knowledge of C++, Java, Python and R. Experience on interdisciplinary teams and interest in external grants. 24 credits per year of undergraduate and graduate teaching (one source said 12), possibly on both campuses. Salary $107,000.</t>
  </si>
  <si>
    <t xml:space="preserve">Professional-practice line in MS&amp;IS dept emphasizing data science/BA, IT, ML, time series and forecasting: strong methods match (time series, ML/LLMs, Python/ML TA); MS&amp;IS dept = 4. Risks: practice title favors industry experience; Jan 2027 start precedes June 2027 PhD.</t>
  </si>
  <si>
    <t xml:space="preserve">https://jobs.chronicle.com/job/38018595/management-science-and-information-systems-assistant-professor-of-professional-practice/; https://www.disabledperson.com/jobs/73851666-management-science-and-information-systems-assistant-professor-of-professional-practice</t>
  </si>
  <si>
    <t xml:space="preserve">Full-time, non-tenure-track professional-practice role in MSIS. Start is January 2027, before the candidate's June 2027 PhD, so post-completion OPT would not cover it then. They would need pre-completion OPT/CPT or a later start. Sponsorship is not addressed.</t>
  </si>
  <si>
    <t xml:space="preserve">Part-Time Lecturer | Coadjutant, Rutgers Business School, Newark &amp; New Brunswick: Spring 2027 term pool (separate Winter Session 2027 and Summer 2027 adjunct listings)</t>
  </si>
  <si>
    <t xml:space="preserve">https://jobs.rutgers.edu/postings/161959</t>
  </si>
  <si>
    <t xml:space="preserve">Rutgers Business School: school-wide part-time pool. Management Science and Information Systems (MSIS) appeared as a selectable teaching field in the Spring 2026 version; not confirmed for Spring 2027.</t>
  </si>
  <si>
    <t xml:space="preserve">Rutgers Business School (Newark &amp; New Brunswick)</t>
  </si>
  <si>
    <t xml:space="preserve">Lecturer (formerly Part-Time Lecturer) / Coadjutant</t>
  </si>
  <si>
    <t xml:space="preserve">Rolling, term-based pool. RBS is 'accepting applications for lecturers (formerly Part Time Lecturers) and Coadjutants for the Spring 2027 term, with courses beginning in January 2027 until May 2027.' No closing date was shown. Separate Winter 2027 and Summer 2027 adjunct listings also exist.</t>
  </si>
  <si>
    <t xml:space="preserve">January 2027 (Spring 2027 term)</t>
  </si>
  <si>
    <t xml:space="preserve">nothing found. The search summary says none of the results mention visa, work-authorization, or employment-eligibility requirements, and the qualification sections of the official posting were cut off in the snippets.</t>
  </si>
  <si>
    <t xml:space="preserve">Not confirmed for Spring 2027. A Fall 2026 lecturer posting asked for 'a minimum of three to five years of relevant professional experience' in some areas, and said 'a Masters degree in a related field or relevant industry experience is required'. A Summer 2027 posting said subject-matter experts may be considered. Some subject areas may require industry experience.</t>
  </si>
  <si>
    <t xml:space="preserve">From a mirror of the Spring 2027 listing: Masters or Juris Doctorate required, doctorate preferred. Pay is at least $2,777 per credit. Part-time, per-course, Spring 2027 term (January-May 2027).</t>
  </si>
  <si>
    <t xml:space="preserve">Rutgers MSIS is the IS home in the business school. The learned rubric puts Management Science &amp; IS department lines at 4 (it would be 5 if the pool were IS-only), and part-time status does not lower the score. The candidate is a strong fit for per-course IS teaching: instructor of record for Intro to Connected Systems for Business (cloud, IoT, Azure labs); TA for Machine Learning for Business (Python) and Intro to IT Management labs (~100 students); teaching interests in IS for business, Python, ML/analytics, social media analytics and AI in business. Risks: (1) part-time, per-course pay with no research support, so it fits only as a side or bridge role, not as the main job-market target; (2) teaching in New Jersey from January 2027 while ABD at UW-Milwaukee would require relocating or teaching in person, since RBS courses are mostly on campus; (3) it is a school-wide pool, so MSIS openings depend on course needs.</t>
  </si>
  <si>
    <t xml:space="preserve">https://jobs.rutgers.edu/postings/175724; https://www.higheredjobs.com/faculty/details.cfm?JobCode=177127660; https://www.business.rutgers.edu/faculty-research/recruiting</t>
  </si>
  <si>
    <t xml:space="preserve">Part-time, per-course adjunct pool. Spring 2027 falls before the June 2027 PhD, so the candidate's F-1 status would only allow it under CPT or pre-completion OPT, and a part-time per-course role is very unlikely to lead to H-1B sponsorship. MSIS was a selectable field in the Spring 2026 version but is not confirmed for Spring 2027.</t>
  </si>
  <si>
    <t xml:space="preserve">Part-Time Instructor (Adjunct) - Summer 2027 (Posting 26FA0294)</t>
  </si>
  <si>
    <t xml:space="preserve">https://jobs.rutgers.edu/postings/271801</t>
  </si>
  <si>
    <t xml:space="preserve">Rutgers Business School part-time adjunct instructor pool (field list not shown; probably the same RBS departments, MSIS included)</t>
  </si>
  <si>
    <t xml:space="preserve">Part-time Instructor / Adjunct</t>
  </si>
  <si>
    <t xml:space="preserve">No closing date found. Posting 26FA0294 (jobs.rutgers.edu/postings/271801) recruits part-time instructors for the Summer 2027 term, with courses running May to August 2027. It looks like a rolling pool.</t>
  </si>
  <si>
    <t xml:space="preserve">May 2027 (Summer 2027 term, May-August 2027)</t>
  </si>
  <si>
    <t xml:space="preserve">Nothing found. The results do not mention visa sponsorship or work authorization for this role; they only describe it as part-time adjunct work outside the faculty track.</t>
  </si>
  <si>
    <t xml:space="preserve">Industry experience is not required. The minimum qualifications are a master's degree in a related field, relevant industry experience, or a mix of the two. Subject-matter experts may be considered and doctoral degrees are preferred, so a PhD candidate with a master's qualifies without industry experience.</t>
  </si>
  <si>
    <t xml:space="preserve">A master's degree in a related field (or relevant industry experience, or a mix of the two) is required and a doctorate is preferred. Applicants must show they can teach at the undergraduate or graduate level, and prior teaching experience is a plus. The work covers graduate or undergraduate courses (lecture, hybrid or online), preparing course materials and grading. Pay is at least $2,777 per credit and may vary with qualifications and funding.</t>
  </si>
  <si>
    <t xml:space="preserve">This is a business-school adjunct pool that very likely includes MSIS/IS and business-analytics courses, but no field list for the Summer posting was seen. I scored it 4 rather than 5 because IS is not confirmed. It would be 5 if MSIS is listed, as in the companion Spring pool. Matching CV elements: instructor of record for Intro to Connected Systems for Business (cloud/IoT/Azure); Python ML for Business TA; IT Management labs (about 100 students); interests in social media analytics, Python for business and ML/AI analytics. Timing fits better than the Spring pool, since the May to August 2027 term coincides with the expected June 2027 PhD completion, and hybrid or online formats are mentioned. Risks: per-course adjunct work rather than a career line, and the candidate may be starting a full-time position elsewhere by then.</t>
  </si>
  <si>
    <t xml:space="preserve">https://jobs.rutgers.edu/postings/282188; https://jobs.rutgers.edu/postings/265959; https://jobs.rutgers.edu/postings/search?2201=1&amp;commit=Search&amp;sort=434+asc; https://www.business.rutgers.edu/faculty-research/recruiting</t>
  </si>
  <si>
    <t xml:space="preserve">This is a part-time, per-course summer adjunct pool, not a full-time faculty line. Courses start in May 2027, before the candidate's expected June 2027 PhD, so OPT would only cover the part after the program ends and the EAD is issued. Rutgers is unlikely to sponsor H-1B for adjunct work. Low fit for someone who needs sponsorship. Sources: https://jobs.rutgers.edu/postings/271801, https://jobs.rutgers.edu/postings/282188</t>
  </si>
  <si>
    <t xml:space="preserve">Southern Connecticut State University</t>
  </si>
  <si>
    <t xml:space="preserve">Part-time Instructors - School of Business</t>
  </si>
  <si>
    <t xml:space="preserve">https://inside.southernct.edu/human-resources/jobs/part-time-instructors-school-of-business</t>
  </si>
  <si>
    <t xml:space="preserve">School of Business adjunct pool covering Accounting, Business Information Systems, Economics, Finance &amp; Real Estate, Management, and Marketing. Applicants name their teaching area, so BIS is a valid choice.</t>
  </si>
  <si>
    <t xml:space="preserve">School of Business (AACSB-accredited)</t>
  </si>
  <si>
    <t xml:space="preserve">Part-time instructor / adjunct (pool)</t>
  </si>
  <si>
    <t xml:space="preserve">CT</t>
  </si>
  <si>
    <t xml:space="preserve">Rolling search for an adjunct pool that stays open while the ad is posted, with hiring subject to budget approval. Neither the posting nor the search results give a closing date. The posting is still listed at inside.southernct.edu/human-resources/jobs/part-time-instructors-school-of-business. To apply, email one PDF or zip file to Dr. Prabhakar Gantasala, Associate Dean, at businesssearch1@southernct.edu. The file should contain a letter of interest that names the teaching area, a CV with reference contacts, and unofficial graduate transcripts.</t>
  </si>
  <si>
    <t xml:space="preserve">Not stated (per-semester teaching: fall/spring, possible winter/summer)</t>
  </si>
  <si>
    <t xml:space="preserve">nothing found: neither the posting nor the search results mention visa or work sponsorship</t>
  </si>
  <si>
    <t xml:space="preserve">Preferred: A.B.D., Ph.D. or D.B.A. status, OR substantial professional experience in the teaching area. This is an alternative to the doctoral criterion, so the candidate's ABD status already meets the preference. Industry experience is not required.</t>
  </si>
  <si>
    <t xml:space="preserve">Required: a master's degree in the teaching area. Preferred: ABD, PhD or DBA. The role is part-time per-course teaching: up to two undergraduate or graduate courses per fall/spring semester, possibly winter/summer, in person or alternative delivery. Applicants name a teaching area, and Business Information Systems is an option.</t>
  </si>
  <si>
    <t xml:space="preserve">This is a business-school adjunct pool with an explicit Business Information Systems track, so the candidate can apply naming BIS/MIS as the teaching area. That puts it close to the rubric's IS adjunct-pool examples (e.g., Colorado State CIS adjunct pool), but it is a six-department school-wide pool rather than an IS-specific line, so it scores 4, not 5. CV fit is strong for BIS courses. The candidate was instructor of record for Intro to Connected Systems for Business (cloud, IoT, Azure labs), TA'd Machine Learning for Business (Python) and Intro to IT Management labs (~100 students), and lists teaching interests in IS for business, Python, ML/data analytics, social media analytics and AI in business. The ABD status at UW-Milwaukee's Lubar MIS PhD program matches the 'ABD preferred' qualification. Risks: part-time, per-course, budget-contingent work with no benefits track; the job is in Connecticut while the candidate is in Milwaukee, though the ad mentions alternative delivery; and it is a supplementary or bridge role, not a substitute for a 2027 full-time line.</t>
  </si>
  <si>
    <t xml:space="preserve">https://inside.southernct.edu/human-resources/jobs; https://www.southernct.edu/academics/bis; https://www.southernct.edu/academics/bis/faculty</t>
  </si>
  <si>
    <t xml:space="preserve">This is a part-time per-course adjunct pool (Connecticut State Colleges &amp; Universities), not a full-time line. Part-time adjunct work generally cannot support H-1B and does not meet the needs of a long-term job. It could serve as an OPT-based job after the PhD if the teaching is in the degree field, though it is not a career-track position. Sources: https://inside.southernct.edu/human-resources/jobs/part-time-instructors-school-of-business</t>
  </si>
  <si>
    <t xml:space="preserve">University of Colorado Colorado Springs</t>
  </si>
  <si>
    <t xml:space="preserve">Lecturer - Quantitative Methods &amp; Business Analytics (pool)</t>
  </si>
  <si>
    <t xml:space="preserve">https://www.ziprecruiter.com/Jobs/Business-Analytics/-in-Colorado-Springs,CO</t>
  </si>
  <si>
    <t xml:space="preserve">College of Business, Business Analysis area (Quantitative Methods &amp; Business Analytics)</t>
  </si>
  <si>
    <t xml:space="preserve">Lecturer (evergreen pool)</t>
  </si>
  <si>
    <t xml:space="preserve">This is an evergreen lecturer pool that takes applications on a rolling basis, with no closing date. The re-check search (extended) did not return the official CU Careers (jobs.cu.edu) requisition, so neither the job ID nor the posting date could be confirmed. Only UCCS College of Business directory and program pages came back (business.uccs.edu/about/directory/faculty/department/business-analysis, business.uccs.edu/about/directory/faculty). Evergreen pools normally stay open year-round, so it is probably still open, but this is not verified.</t>
  </si>
  <si>
    <t xml:space="preserve">Not stated (as-needed per term)</t>
  </si>
  <si>
    <t xml:space="preserve">Nothing found. The search did not return the posting text or any CU/UCCS HR statement on visa sponsorship for this pool. Per-term pool lecturer jobs are usually part-time and temporary, and those rarely qualify for H-1B sponsorship (an inference, not stated anywhere). Working on OPT after the PhD may be possible, but this is not confirmed.</t>
  </si>
  <si>
    <t xml:space="preserve">No qualifications text was returned for this posting, so nothing about industry experience was found. The search results do not say whether professional experience is required or preferred.</t>
  </si>
  <si>
    <t xml:space="preserve">Not confirmed, because the posting text was not found. Context from the UCCS directory: the Quantitative Methods group within Business Analysis includes an Assistant Teaching Professor (Ph.D.) and an Associate Teaching Professor (MS). This suggests a master's degree may be enough for lecturer work, but that is an inference. The courses likely to be taught include BUAN 3500 (Data Management and Descriptive Analytics), BUAN 3600 (Predictive Analytics) and BUAN 4000 (Applied Prescriptive Analytics). The college has AACSB accreditation, so faculty qualification standards (SA/IP) likely apply.</t>
  </si>
  <si>
    <t xml:space="preserve">This is a business-school line in Business Analytics, combined with Quantitative Methods. Under the rubric that is a 4: analytics in a business school, with Information Systems explicitly listed as a preferred background. It is not a 5 because the home is quantitative methods and analytics, not an IS/MIS department. The candidate fits the teaching side well. They have been instructor of record for Intro to Connected Systems for Business, a TA for Machine Learning for Business in Python, and ran the Intro to IT Management labs (about 100 students). They list ML &amp; data analytics, Python for business, and social media analytics as teaching interests. Their methods (econometrics and causal inference, time series, ML and LLMs) support teaching business statistics and analytics. Risks: this is a part-time, per-term, non-research pool with no stated start date, so it suits a bridge or local role rather than a primary research job market target. Pool lecturers usually need a master's degree, so being ABD is not a barrier, but there is no research support. Because it is an evergreen pool, being listed does not mean a vacancy exists.</t>
  </si>
  <si>
    <t xml:space="preserve">https://business.uccs.edu/about/directory/faculty/department/business-analysis; https://business.uccs.edu/about/directory/faculty</t>
  </si>
  <si>
    <t xml:space="preserve">This is a per-term, as-needed lecturer pool, not a full-time career job. It fits poorly for a candidate who needs long-term H-1B sponsorship, though it might work as a short OPT-period teaching gig. The only source for this posting is an aggregator listing (ZipRecruiter). Before applying, find the official CU Careers requisition at jobs.cu.edu to confirm pay, qualifications and work-authorization terms. Sources: https://business.uccs.edu/about/directory/faculty/department/business-analysis ; https://business.uccs.edu/about/directory/faculty ; https://business.uccs.edu/academics/business-analytics-mba</t>
  </si>
  <si>
    <t xml:space="preserve">Professor of Practice - Decision &amp; Information Sciences (Non-Tenure Track)</t>
  </si>
  <si>
    <t xml:space="preserve">https://careers.uh.edu/jobs/professor-of-practice-decision-information-sciences-houston-texas-united-states-fce2c1fc-eb84-4ad7-af50-c6f6d93d7eb6</t>
  </si>
  <si>
    <t xml:space="preserve">Decision &amp; Information Sciences</t>
  </si>
  <si>
    <t xml:space="preserve">Professor of Practice (non-tenure-track)</t>
  </si>
  <si>
    <t xml:space="preserve">No closing or review date appears in the careers.uh.edu, Chronicle (job 496663) or HERC results. The Chronicle copy is dated Aug 3, 2026, and the start is Spring 2027, so review is probably underway. Apply as soon as possible.</t>
  </si>
  <si>
    <t xml:space="preserve">Spring 2027</t>
  </si>
  <si>
    <t xml:space="preserve">nothing found. None of the search results for the posting (careers.uh.edu, Chronicle, HERC) mention visa or H-1B sponsorship or work authorization.</t>
  </si>
  <si>
    <t xml:space="preserve">The current posting focuses on AI and healthcare and says healthcare industry experience is a plus. Earlier Bauer Professor of Practice postings (MIS for Fall 2025, SCM/OM for 2026) preferred a PhD plus business experience. Past hires have been long-time industry practitioners. The posting does not say industry experience is strictly required, but practice roles favor it, which makes this a weak fit for a candidate with no industry experience.</t>
  </si>
  <si>
    <t xml:space="preserve">A PhD in MIS, Healthcare, Psychology or Operations Management is preferred. The posting asks for teaching and research experience in AI and healthcare, plus service to the department, college and university. Teaching is the main duty, supporting the college's healthcare-related programs. Spring 2027 start: the candidate's PhD is not expected until June 2027, so a start in that term would come before the degree is finished.</t>
  </si>
  <si>
    <t xml:space="preserve">Decision &amp; Information Sciences teaching line in Bauer (MIS, AI in healthcare, decision science, OM), so 4. The candidate's MIS, cloud and Python/ML teaching and AI-in-business interests fit. Risks: Professor of Practice titles usually expect industry experience, which the candidate lacks; the healthcare focus is not in the candidate's CV; Spring 2027 start is before the candidate's PhD.</t>
  </si>
  <si>
    <t xml:space="preserve">https://jobs.chronicle.com/job/38021623/professor-of-practice-decision-and-information-sciences-496663-/?TrackID=10; https://main.hercjobs.org/jobs/21692203/professor-of-practice-decision-information-sciences</t>
  </si>
  <si>
    <t xml:space="preserve">Non-tenure-track practice role starting Spring 2027 (January 2027). That is before the candidate's PhD (June 2027) and before any post-completion OPT, so the timing is a problem as well as the industry-experience preference. Sponsorship is not addressed. Sources: https://careers.uh.edu/jobs/professor-of-practice-decision-information-sciences-houston-texas-united-states-fce2c1fc-eb84-4ad7-af50-c6f6d93d7eb6 ; https://jobs.chronicle.com/job/38021623/professor-of-practice-decision-and-information-sciences-496663-/</t>
  </si>
  <si>
    <t xml:space="preserve">University of Kentucky</t>
  </si>
  <si>
    <t xml:space="preserve">Lecturer, Business Analytics</t>
  </si>
  <si>
    <t xml:space="preserve">https://ukjobs.uky.edu/postings/650748</t>
  </si>
  <si>
    <t xml:space="preserve">Not stated in posting snippet (contact is the Business Analytics Center, Gatton College)</t>
  </si>
  <si>
    <t xml:space="preserve">Gatton College of Business and Economics</t>
  </si>
  <si>
    <t xml:space="preserve">Lecturer (non-tenure-track; path to Senior Lecturer after 5 years)</t>
  </si>
  <si>
    <t xml:space="preserve">No fixed closing date. Review begins immediately and continues until the position is filled, so applying early is advised. Anticipated start is 2027-08-01. Apply with a letter of application and current CV/resume. Contact Tom Groleau, Director of the Business Analytics Center (Tom.Groleau@uky.edu). Requisition FE05045. The posting (ukjobs.uky.edu/postings/650748) was still indexed as of 2026-10-14.</t>
  </si>
  <si>
    <t xml:space="preserve">Nothing found. The posting excerpts returned by search (ukjobs.uky.edu/postings/650748) say nothing about visa or H-1B sponsorship and set no work-authorization condition. Confirm with HR or with Tom Groleau.</t>
  </si>
  <si>
    <t xml:space="preserve">Preferred, not required: 'Relevant professional experience applying analytics in business, government, consulting, or another organizational setting.' Required qualifications list no industry experience.</t>
  </si>
  <si>
    <t xml:space="preserve">Required: a master's or higher in business analytics or a closely related field with substantial analytics content; demonstrated knowledge of analytics concepts and methods; effective teaching and communication; proficiency with analytics software (or a commitment to learn what the courses require); commitment to teaching and student success. Preferred: a terminal degree, prior teaching or training experience (online and in-person), and familiarity with Excel, SQL, Tableau, Power BI, Python or R. The PhD is not required, since a master's is enough.</t>
  </si>
  <si>
    <t xml:space="preserve">Business analytics lecturer in Gatton College, a BA teaching line in a business school, so 4. The candidate's Python ML for Business TA work, data-analytics and AI teaching interests and the candidate's econometrics and ML methods fit. Full-time NTT, renewable, 7-8 courses a year; Aug 2027 start fits.</t>
  </si>
  <si>
    <t xml:space="preserve">Full-time, 9-month, non-tenure-eligible appointment for an initial 2 years, renewable, with promotion to Senior Lecturer possible after 5 years. Teaching load is 7-8 courses per year. The August 2027 start comes after the June 2027 PhD, so the candidate could start on post-completion OPT. Sponsorship is unconfirmed, so ask whether UK will sponsor an H-1B for a non-tenure lecturer line (UK is a cap-exempt university). No industry experience is required, and a master's meets the degree requirement.</t>
  </si>
  <si>
    <t xml:space="preserve">University of Maryland, College Park</t>
  </si>
  <si>
    <t xml:space="preserve">Adjunct Lecturer (Online Master's in Business Analytics program)</t>
  </si>
  <si>
    <t xml:space="preserve">https://jobs.chronicle.com/job/37966075/adjunct-lecturer/</t>
  </si>
  <si>
    <t xml:space="preserve">Decision, Operations &amp; Information Technologies (DO&amp;IT)</t>
  </si>
  <si>
    <t xml:space="preserve">Robert H. Smith School of Business</t>
  </si>
  <si>
    <t xml:space="preserve">Adjunct Lecturer</t>
  </si>
  <si>
    <t xml:space="preserve">The Chronicle listing (posted 2026-03-23) says open until filled and gives no fixed closing date. It reads as a rolling, per-course adjunct pool for the OMSBA program. The 2026-10-14 extended search did not find the posting on jobs.umd.edu or the Smith site, so I could not confirm it is still active. No current deadline was found.</t>
  </si>
  <si>
    <t xml:space="preserve">Not stated (rolling, per-course staffing)</t>
  </si>
  <si>
    <t xml:space="preserve">nothing found. The search returned only program pages (rhsmith.umd.edu, Poets&amp;Quants, TopUniversities), not the job posting or any UMD HR text on visa sponsorship. Part-time per-course adjunct roles are rarely H-1B sponsored, but no posting text says so either way.</t>
  </si>
  <si>
    <t xml:space="preserve">The only evidence is the Chronicle snippet, which stops at 'Minimum qualification is a master's with...', so any experience requirement after that is unknown. The search did not reach the full posting. Adjunct lecturer roles in online business analytics programs often value practitioner experience, but the available text does not confirm this.</t>
  </si>
  <si>
    <t xml:space="preserve">Minimum qualification is a master's degree (the rest of the snippet is cut off). Part-time, per course, with a posted salary range of $5,500-$10,500. Teaches courses in the Online Master's in Business Analytics (OMSBA) program, DO&amp;IT department, Robert H. Smith School of Business.</t>
  </si>
  <si>
    <t xml:space="preserve">Field and unit drive the score. This is a business-school line teaching business analytics in DO&amp;IT, a combined Decision/Operations/IT unit comparable to UCLA DOTM and Wharton OID, so it scores 4. Strong CV matches: as instructor of record for Intro to Connected Systems for Business (cloud, IoT, Azure labs), the candidate maps to the AWS/cloud-certification preference. TA work in Machine Learning for Business (Python) and in IT Management labs (~100 students) fits OMSBA analytics courses. Teaching interests (ML &amp; data analytics, Python for business, social media analytics, AI in business) and methods (econometrics, causal inference, time series, ML/LLMs) match an MS Business Analytics curriculum. The MIS-concentration PhD coursework meets the minimum of 18 graduate credits in IS, and the preferred doctorate in IS or business analytics is in progress (ABD, June 2027). Risks: part-time, per-course, and not a career-track line. The candidate has no industry experience or certifications, both of which are preferred. The posting dates from March 2026 and may be stale. Online delivery makes the role feasible from Milwaukee while the candidate is still ABD.</t>
  </si>
  <si>
    <t xml:space="preserve">This is a poor fit for the candidate. It is part-time, per-course adjunct work with no sponsorship stated and no long-term path. The candidate's PhD completes June 2027, so post-completion OPT cannot cover AY 2026-27 work. For later use, post-completion OPT requires at least 20 hours/week of work related to the degree, which a single per-course adjunct load may not meet. During the PhD, F-1 rules would need CPT or on-campus authorization, and an off-campus adjunct role is not automatically covered. Before applying, confirm the posting is live on jobs.umd.edu (Chronicle job 37966075).</t>
  </si>
  <si>
    <t xml:space="preserve">University of Miami</t>
  </si>
  <si>
    <t xml:space="preserve">MHBS Assistant/Associate/Full Professor (Req. R100081474)</t>
  </si>
  <si>
    <t xml:space="preserve">https://careers.miami.edu/us/en/job/R100081474/MHBS-Assistant-Associate-Full-Professor</t>
  </si>
  <si>
    <t xml:space="preserve">School-wide multi-area search (strategic areas incl. Finance, AI, Business Analytics, Healthcare, Innovation, Entrepreneurship, Sustainability); the same requisition also carries the Marketing Department Associate/Full ad</t>
  </si>
  <si>
    <t xml:space="preserve">Miami Herbert Business School</t>
  </si>
  <si>
    <t xml:space="preserve">Assistant / Associate / Full Professor (tenured or tenure-track)</t>
  </si>
  <si>
    <t xml:space="preserve">FL</t>
  </si>
  <si>
    <t xml:space="preserve">No closing or priority date appeared in the official UM Careers listing (careers.miami.edu/us/en/job/R100081474) or in the Chronicle copy. The requisition looks evergreen or reused. The Chronicle Marketing Department ad on the same requisition is dated 2026-06-29 and covers a Fall 2027 start, with appointment possible from 2027-06-01. An older Management Science (Business Analytics) ad also used R100081474 for a Fall 2025 start. The UM Careers listing still came up in the 2026-10-14 search, so it is probably still active, but review dates were not stated. Apply soon.</t>
  </si>
  <si>
    <t xml:space="preserve">Ambiguous: the umbrella text said June 1, 2026 (prior cycle); the Chronicle copy of the same requisition says Fall 2027 (possibly June 1, 2027)</t>
  </si>
  <si>
    <t xml:space="preserve">nothing found. The search results (UM Careers listing, Chronicle Marketing ad, older Management Science PDF) say nothing about visa or H-1B sponsorship, and nothing about requiring existing work authorization. Confirm with Miami Herbert or UM HR.</t>
  </si>
  <si>
    <t xml:space="preserve">The search results mention no industry or professional experience requirement. The criteria are academic: a top-tier research record, teaching competence, and service.</t>
  </si>
  <si>
    <t xml:space="preserve">PhD in a relevant field. The Marketing version asks for a PhD in Marketing or a related field. The umbrella ad lists priority areas including AI, Business Analytics, Finance, Healthcare, Innovation, Entrepreneurship and Sustainability, and prefers boundary-spanning scholars. Candidates need high-quality scholarly research shown through top-tier publications, demonstrated teaching competence, and an active research program, and they teach undergraduate and graduate courses and do service. Apply through UM Careers with a letter of interest, CV, research statement, teaching statement, and names of 3 references.</t>
  </si>
  <si>
    <t xml:space="preserve">School-wide Miami Herbert search that names Artificial Intelligence and Business Analytics as priority areas, a BA/AI line in a business school, so 4. The candidate's ML/LLM and multimodal methods and the candidate's IS economics and platform research fit the AI/BA priority. Risks: umbrella requisition that also carries a marketing Associate/Full ad; start date ambiguous; boundary-spanning scholars preferred.</t>
  </si>
  <si>
    <t xml:space="preserve">https://jobs.chronicle.com/job/38007501/marketing-department-mhbs-associate-full-professor-r100081474-full-time/?TrackID=10; https://www.herbert.miami.edu/faculty-research/academic-departments/business-technology/faculty.html</t>
  </si>
  <si>
    <t xml:space="preserve">This is a school-wide multi-area search for 4 tenured or tenure-track hires, Assistant through Full. The AI and Business Analytics priority areas fit an MIS candidate. The Chronicle copy of R100081474 is the Marketing Department's Associate/Full-only ad, so apply under the umbrella MHBS Assistant/Associate/Full Professor listing. The start dates conflict (umbrella says June 1, 2026; Chronicle says Fall 2027, as early as June 1, 2027), and a June 2027 PhD would fit a Fall 2027 start. The results do not say whether the school sponsors visas or accepts OPT, so verify with HR. Sources: https://careers.miami.edu/us/en/job/R100081474/MHBS-Assistant-Associate-Full-Professor ; https://jobs.chronicle.com/job/38007501/marketing-department-mhbs-associate-full-professor-r100081474-full-time/?TrackID=10 ; https://thyunes.github.io/docs/ManagementScienceJobAtMiamiHerbert.pdf</t>
  </si>
  <si>
    <t xml:space="preserve">University of Missouri</t>
  </si>
  <si>
    <t xml:space="preserve">Assistant Teaching Professor - AI &amp; Business</t>
  </si>
  <si>
    <t xml:space="preserve">YES - sponsorship stated (industry experience preferred, not required)</t>
  </si>
  <si>
    <t xml:space="preserve">https://jobs.chronicle.com/job/37973536/assistant-teaching-professor-ai-and-business/</t>
  </si>
  <si>
    <t xml:space="preserve">College-wide AI &amp; Business line (may be housed in any college department)</t>
  </si>
  <si>
    <t xml:space="preserve">Robert J. Trulaske, Sr. College of Business</t>
  </si>
  <si>
    <t xml:space="preserve">Assistant Teaching Professor (non-tenure-track, 9-month)</t>
  </si>
  <si>
    <t xml:space="preserve">MO</t>
  </si>
  <si>
    <t xml:space="preserve">Review of applications began May 1, 2026, and applications are accepted until the position is filled. Posted April 8, 2026. On Oct 14, 2026, both the Chronicle (37973536) and HigherEdJobs (179412500) listings are still indexed. Neither shows a closing date. Start date is January 2027.</t>
  </si>
  <si>
    <t xml:space="preserve">January 2027</t>
  </si>
  <si>
    <t xml:space="preserve">According to the search summary, the posting says "Employment-based visa sponsorship may be considered for this position." It also says "All persons hired will be required to verify identity and authorization to work in the United States upon hire." Sponsorship is case by case and not guaranteed.</t>
  </si>
  <si>
    <t xml:space="preserve">The qualifications list "professional experience applying AI or analytics in organizational or consulting settings." The search results did not say whether this is a minimum or a preferred qualification, so I recorded it as Preferred, but this needs confirming. The college also says it welcomes candidates whose main background is outside traditional academia, which suggests the role favors practitioners.</t>
  </si>
  <si>
    <t xml:space="preserve">Minimum is an earned master's degree from an accredited institution in business, data science, analytics, information systems, computer science or a closely related field. A PhD is not required. The hire must show current expertise in AI in business, such as generative and agentic AI, AI ethics and governance, and automation. Prior teaching experience is preferred but not required. Duties include undergraduate and master's AI and business courses, possibly some functional-area business courses, and leadership on AI literacy. It is a renewable 9-month appointment that can be housed in any department of the college.</t>
  </si>
  <si>
    <t xml:space="preserve">Business-school AI &amp; business teaching line = 4. Matches the teaching interests (AI in business, ML &amp; data analytics, Python for business), the ML for Business TA role (Python) and instructor-of-record experience. Risk: January 2027 start comes before the June 2027 PhD, so it may need ABD acceptance or a later start.</t>
  </si>
  <si>
    <t xml:space="preserve">https://www.higheredjobs.com/faculty/details.cfm?JobCode=179412500</t>
  </si>
  <si>
    <t xml:space="preserve">Non-tenure-track teaching line in the Trulaske College of Business. Visa sponsorship is explicitly open to consideration. The January 2027 start comes before the candidate's expected June 2027 PhD. A master's degree meets the minimum, but the candidate would need work authorization by January. That could come from H-1B sponsorship (the university is cap-exempt) or possibly full-time pre-completion OPT, so the timing needs confirming with the college. Post-completion OPT would not be available until after the PhD. Review has been rolling since May 1, 2026, so the position may already be close to filled. The candidate has no industry experience, and applied AI or analytics practice is valued here, which could weaken the application.</t>
  </si>
  <si>
    <t xml:space="preserve">University of North Carolina Wilmington</t>
  </si>
  <si>
    <t xml:space="preserve">Cameron School of Business Temporary Faculty Pool (Fall 2026, Spring 2027, Summer 2027)</t>
  </si>
  <si>
    <t xml:space="preserve">https://jobs.uncw.edu/postings/39244</t>
  </si>
  <si>
    <t xml:space="preserve">Multiple departments (school-wide temporary faculty pool)</t>
  </si>
  <si>
    <t xml:space="preserve">Cameron School of Business</t>
  </si>
  <si>
    <t xml:space="preserve">Temporary part-time faculty (adjunct)</t>
  </si>
  <si>
    <t xml:space="preserve">No closing date appears in the results. This is a standing pool (vacancy TE133FAC) for Fall 2026, Spring 2027 and Summer 2027, and it seems to accept applications on a rolling basis. Hiring is per semester as needed. Sources: jobs.uncw.edu/postings/39244; a HigherEdJobs copy (JobCode 178798627).</t>
  </si>
  <si>
    <t xml:space="preserve">As needed: Fall 2026, Spring 2027 or Summer 2027</t>
  </si>
  <si>
    <t xml:space="preserve">nothing found. The search results for the posting say nothing about visa or H-1B sponsorship or work authorization. Part-time temporary pool roles generally cannot support H-1B.</t>
  </si>
  <si>
    <t xml:space="preserve">Industry experience is not required. The posting says candidates with 'equivalent verifiable professional experience, certifications, and licensures in the discipline may also be considered' in place of the degree requirement. That is an alternative path to qualify, not a requirement.</t>
  </si>
  <si>
    <t xml:space="preserve">Undergraduate teaching requires a master's degree plus 18 graduate credit hours in the teaching discipline. Graduate teaching requires a terminal degree in the discipline. All degrees must be from a regionally accredited institution. The pool covers Business Analytics, Information Systems, Supply Chain Management and other departments.</t>
  </si>
  <si>
    <t xml:space="preserve">School-wide part-time pool that names Information Systems and Business Analytics among eligible disciplines. That makes it a multi-area pool with IS as one area = 4. The candidate would apply under IS, using the Connected Systems instructor-of-record and ML for Business TA experience. Per-semester adjunct work only, which suits an ABD as interim teaching.</t>
  </si>
  <si>
    <t xml:space="preserve">This is a part-time adjunct pool with per-semester appointments. It does not lead to tenure and gives no H-1B path. An F-1 student could only take it under CPT or OPT work authorization. It fits a candidate who needs sponsorship poorly, and it is not a full-time faculty job.</t>
  </si>
  <si>
    <t xml:space="preserve">University of South Carolina</t>
  </si>
  <si>
    <t xml:space="preserve">Assistant/Associate Professor of Business Analytics (tenure-track), posting FAC00139PO26</t>
  </si>
  <si>
    <t xml:space="preserve">https://uscjobs.sc.edu/postings/214247</t>
  </si>
  <si>
    <t xml:space="preserve">Economics, Finance and Accounting (per candidate; the verification search summary did not restate the department)</t>
  </si>
  <si>
    <t xml:space="preserve">George Dean Johnson Jr. College of Business and Economics (USC Upstate)</t>
  </si>
  <si>
    <t xml:space="preserve">Assistant or Associate Professor</t>
  </si>
  <si>
    <t xml:space="preserve">SC</t>
  </si>
  <si>
    <t xml:space="preserve">Posting FAC00139PO26 (USC Upstate) opened 10/06/2026. No close date; open until filled. No priority review date found, so apply early. Start date 2027-08-16.</t>
  </si>
  <si>
    <t xml:space="preserve">Neither the search results nor the official posting (uscjobs.sc.edu/postings/214247) mention visa or H-1B sponsorship. The only screening condition noted is 'a successful background check is required.'</t>
  </si>
  <si>
    <t xml:space="preserve">The Assistant Professor rank has no industry experience requirement. The Associate rank requires at least 5 years of relevant experience after the terminal degree, at least 3 indexed journal publications in the last 5 years, and a record that meets promotion criteria. That is academic seniority, not industry experience.</t>
  </si>
  <si>
    <t xml:space="preserve">Ph.D. or DBA in Business Analytics, Statistics, Economics, or a related field by the start date. ABD candidates who plan to finish by 2027-08-15 are welcome, which fits a June 2027 PhD. 9-month, full-time, Spartanburg SC campus. Background check required.</t>
  </si>
  <si>
    <t xml:space="preserve">Business-school business analytics line (USC Upstate) = 4. MBA/MS Business Analytics teaching matches the Python, ML for Business and data-analytics teaching interests and the econometrics/ML methods. Aug 2027 start fits. Open until filled.</t>
  </si>
  <si>
    <t xml:space="preserve">https://uscjobs.sc.edu/postings/search</t>
  </si>
  <si>
    <t xml:space="preserve">USC Upstate (George Dean Johnson Jr. College of Business and Economics). Good fit for an ABD MIS/Management Science candidate. Sponsorship is unaddressed, so ask HR or the search chair (Dr. Jim O'Connor). OPT would cover the start.</t>
  </si>
  <si>
    <t xml:space="preserve">Assistant Professor of Management Science (tenure-track)</t>
  </si>
  <si>
    <t xml:space="preserve">Not stated in results (USC Aiken business unit, likely the School of Business Administration)</t>
  </si>
  <si>
    <t xml:space="preserve">USC Aiken posting FAC00086PO26. Screening began 2026-09-03 and continues until the position is filled. The desired start is 2027-01-01, and the file also lists 2027-08-16 as an option. No closing date found.</t>
  </si>
  <si>
    <t xml:space="preserve">2027-01-01 or 2027-08-16</t>
  </si>
  <si>
    <t xml:space="preserve">The search summary of the uscjobs.sc.edu posting says that 'it says nothing about visa sponsorship.' Questions go to Dean Ravi Narayanaswamy (RaviN@usca.edu, 803-641-3459).</t>
  </si>
  <si>
    <t xml:space="preserve">No industry or professional experience requirement in the results. Evidence of teaching effectiveness is preferred.</t>
  </si>
  <si>
    <t xml:space="preserve">Doctorate in management science or a closely related field from an AACSB-accredited institution. ABD candidates are considered if the degree is conferred by the appointment date. Must show research potential that meets AACSB scholarly standards and be willing to teach AI, technology management and analytics. Apply with a cover letter, CV, teaching philosophy, unofficial transcripts and 3 references. Finalists supply official transcripts and 3 letters.</t>
  </si>
  <si>
    <t xml:space="preserve">Management Science line teaching AI, technology management and analytics. The candidate's PhD is Management Science (MIS concentration), and the AI/analytics teaching matches the ML for Business and AI-in-business interests, so it is scored 4. Unit at USC Aiken is unconfirmed. The Jan 2027 option is too early; the Aug 2027 start fits.</t>
  </si>
  <si>
    <t xml:space="preserve">Full-time, 9-month, tenure-track at USC Aiken (business school). Timing risk: the desired start is Jan 1, 2027, but the PhD is expected June 2027. That only works if the Aug 16, 2027 start is accepted. Confirm with the dean, and also ask about H-1B sponsorship. The exact posting URL was not confirmed; it is on the uscjobs.sc.edu search.</t>
  </si>
  <si>
    <t xml:space="preserve">Tenure Track Faculty, Accounting and Information Systems</t>
  </si>
  <si>
    <t xml:space="preserve">https://jobs.chronicle.com/job/38022740/tenure-track-faculty-accounting-and-information-systems/</t>
  </si>
  <si>
    <t xml:space="preserve">Assistant Professor (primary focus); experienced Assistant Professors also encouraged</t>
  </si>
  <si>
    <t xml:space="preserve">Review began immediately and continues until the position is filled. The Chronicle ad was posted 2026-08-06 and its listing expired 2026-10-06, so it is no longer active. The Villanova employment site, possibly posting 35866, may still accept applications, but this was not confirmed.</t>
  </si>
  <si>
    <t xml:space="preserve">Nothing found. The search results did not surface any visa sponsorship information for this posting.</t>
  </si>
  <si>
    <t xml:space="preserve">Not verified. The listing mentions 'professional experience', but the retrieved snippet cuts off before saying whether it is required or preferred. Earlier evidence says a CPA is preferred, which is a professional credential. It looks preferred rather than required, but check the full posting.</t>
  </si>
  <si>
    <t xml:space="preserve">A PhD is required, along with some relevant teaching experience and the potential to publish in high-quality accounting journals. Teaching centers on the undergraduate financial and managerial accounting series, and the posting values a record of strong teaching that brings AI and emerging technologies into courses. A CPA is preferred, according to earlier evidence. The main focus is Assistant rank, and new graduates are encouraged. Starts Fall 2027.</t>
  </si>
  <si>
    <t xml:space="preserve">The learned rubric names Villanova AIS lines as 4. AI and emerging technologies run through the coursework, which ties to the candidate's AI and ML teaching. Risk: the description is accounting-centric and the candidate has no CPA or accounting PhD. The parallel MIS posting is the stronger fit.</t>
  </si>
  <si>
    <t xml:space="preserve">Weak fit for an MIS PhD: this is an accounting-focused tenure-track job (financial and managerial accounting courses, accounting journals, CPA preferred). The Chronicle ad has expired, so it is unclear whether it is still open. Sponsorship is not stated. The separate MIS posting r106 is the better target at Villanova.</t>
  </si>
  <si>
    <t xml:space="preserve">DEADLINE PASSED - confirm portal still open, else skip</t>
  </si>
  <si>
    <t xml:space="preserve">Arkansas State University</t>
  </si>
  <si>
    <t xml:space="preserve">Assistant Professor 9 Mo (business analytics / operations management / supply chain)</t>
  </si>
  <si>
    <t xml:space="preserve">2026-09-30</t>
  </si>
  <si>
    <t xml:space="preserve">https://www.astate.edu/college/business/faculty-staff/management-marketing/</t>
  </si>
  <si>
    <t xml:space="preserve">Not stated. The college has four departments, including Information Systems &amp; Business Analytics and Management, Marketing &amp; Supply Chain. Given the BA/OM/SCM teaching duties, the line likely sits in one of those two.</t>
  </si>
  <si>
    <t xml:space="preserve">Neil Griffin College of Business (presumed; the posting snippet did not name the college)</t>
  </si>
  <si>
    <t xml:space="preserve">AR</t>
  </si>
  <si>
    <t xml:space="preserve">The only date comes from the Indeed listing, which encouraged applicants to apply by September 30, 2026. This reads as a priority or full-consideration date, and it has already passed. No firm closing date or 'open until filled' wording was seen. An extended search on 2026-10-14 found no official Arkansas State HR posting to confirm whether applications are still accepted. The results showed only faculty directory pages for the Neil Griffin College of Business, including Management, Marketing &amp; Supply Chain and Information Systems &amp; Business Analytics. Late applications may be possible, but the candidate should check the A-State HR job board or contact the college.</t>
  </si>
  <si>
    <t xml:space="preserve">Spring 2027 or Fall 2027</t>
  </si>
  <si>
    <t xml:space="preserve">nothing found. The Indeed snippet and the extended search showed no wording about visa or H-1B sponsorship, and no official posting text was found.</t>
  </si>
  <si>
    <t xml:space="preserve">The available snippet lists only teaching duties (business analytics, operations management, or supply chain courses) and pay ($100,000-$110,000 per 9 months, commensurate with education and experience). No industry or professional experience requirement was seen. The full qualifications section was not available.</t>
  </si>
  <si>
    <t xml:space="preserve">The full qualifications were not visible. It is a 9-month, full-time Assistant Professor role starting Spring 2027 or Fall 2027. A doctorate in a relevant field is presumably expected, but the snippet did not say so or set a degree-completion deadline. With a PhD expected in June 2027, the candidate fits the Fall 2027 start, not Spring 2027.</t>
  </si>
  <si>
    <t xml:space="preserve">Business-analytics/OM/SCM line in the business college, which has an IS &amp; Business Analytics department. Business-school analytics lines score 4. Fit: ML for Business TA, Python and analytics teaching, econometrics/time-series methods. Risks: home department and tenure status unconfirmed; possible Spring 2027 start comes before the PhD; OM/SCM duties sit outside the CV.</t>
  </si>
  <si>
    <t xml:space="preserve">https://www.indeed.com/q-arkansas-state-university-jobs.html; https://www.indeed.com/cmp/Arkansas-State-University; https://www.indeed.com/q-arkansas-state-university-l-jonesboro,-ar-jobs.html</t>
  </si>
  <si>
    <t xml:space="preserve">Tenure-track status is presumed from the rank and was not explicitly stated. The verification search found no official A-State posting, so details rely on the Indeed snippet only. Sponsorship is not stated either way. A Fall 2027 start could be covered by OPT after the June 2027 PhD, and a regional public university like A-State generally can file H-1B petitions, but this posting does not confirm it. The priority date has passed. Sources: https://www.astate.edu/college/business/faculty-staff/management-marketing/ ; https://www.astate.edu/colleges/neil-griffin-college-of-business/information-systems-and-business-analytics.html ; https://www.indeed.com/cmp/Arkansas-State-University</t>
  </si>
  <si>
    <t xml:space="preserve">UPCOMING - due after Oct 18 (submit early)</t>
  </si>
  <si>
    <t xml:space="preserve">University of Alabama at Birmingham</t>
  </si>
  <si>
    <t xml:space="preserve">Instructor of Applied Statistics and Business Analytics</t>
  </si>
  <si>
    <t xml:space="preserve">2026-10-19</t>
  </si>
  <si>
    <t xml:space="preserve">https://jobs.chronicle.com/job/38027766/instructor-of-applied-statistics-and-business-analytics/?TrackID=10</t>
  </si>
  <si>
    <t xml:space="preserve">Management, Information Systems &amp; Quantitative Methods (MISQ)</t>
  </si>
  <si>
    <t xml:space="preserve">Collat School of Business</t>
  </si>
  <si>
    <t xml:space="preserve">Instructor (full-time, non-tenure-track)</t>
  </si>
  <si>
    <t xml:space="preserve">The search found no stated closing date. The Chronicle listing (job 38027766, posted Aug 19, 2026) carries a listing expiry (validThrough) of 2026-10-19, so treat that as the practical deadline and apply within days. The search snippet for the Collat instructor posting was cut off before any close date. A different Collat instructor posting (MISQ Management Instructor, PeopleAdmin 28474 / F2915P) says 'Open Until Filled: Yes', but that may not apply to this role.</t>
  </si>
  <si>
    <t xml:space="preserve">nothing found. The search results (Chronicle listing, UAB PeopleAdmin postings 26476/28474/28416, HigherEdJobs) contained no visa or H-1B sponsorship statement for this posting.</t>
  </si>
  <si>
    <t xml:space="preserve">The search found no industry or professional experience requirement for this applied statistics / business analytics instructor posting. A separate MISQ 'Management Instructor' posting at Collat asks for professional or practitioner experience in management, HR, organizational leadership, analytics or a related field. That is a different role, but check the full posting to confirm this one does not ask for the same.</t>
  </si>
  <si>
    <t xml:space="preserve">The search did not return a full qualifications list. Duties per the search summary: undergraduate and graduate teaching in applied statistics, business analytics, data mining and AI applications in business, plus student mentoring and curriculum work. One snippet mentions a load of 8 sections across fall and spring. Instructor-rank roles usually require a master's or doctorate in a related field, but the results did not confirm this. Teaching-only, full-time, non-tenure-track.</t>
  </si>
  <si>
    <t xml:space="preserve">Business analytics / applied statistics instructor in Collat's Management, IS &amp; Quantitative Methods department, a BA teaching line in a business school, so 4. The candidate's ML for Business (Python) TA work, econometrics and time-series training and the candidate's data-analytics teaching interests fit. Full-time NTT, Fall 2027 start fits. Urgent: deadline 2026-10-19.</t>
  </si>
  <si>
    <t xml:space="preserve">https://jobs.chronicle.com/job/38027766/instructor-of-applied-statistics-and-business-analytics/</t>
  </si>
  <si>
    <t xml:space="preserve">The search summary tied this title to UAB PeopleAdmin posting 26476 with a 'Fall 2026' start, which may be an earlier cycle. The item file and Chronicle listing (posted Aug 2026) give a Fall 2027 start, which fits a PhD expected June 2027 and starting on OPT. Since sponsorship is not stated, ask MISQ or UAB HR whether they will file an H-1B for a non-tenure-track instructor. The Chronicle listing expires 2026-10-19, before the user's 10/18 cutoff plus one day, so this is urgent. Sources: https://jobs.chronicle.com/job/38027766/instructor-of-applied-statistics-and-business-analytics/?TrackID=10 ; https://uab.peopleadmin.com/postings/26476 ; https://uab.peopleadmin.com/postings/28474</t>
  </si>
  <si>
    <t xml:space="preserve">New Mexico State University</t>
  </si>
  <si>
    <t xml:space="preserve">College Assistant Professor (Information Systems), non-tenure track, 9-month; fully remote candidates considered</t>
  </si>
  <si>
    <t xml:space="preserve">2026-10-21</t>
  </si>
  <si>
    <t xml:space="preserve">https://careers.nmsu.edu/jobs/college-assistant-professor-remote-locations-new-mexico-united-states-e353bdda-98b4-480b-a801-57ceb8b5a932</t>
  </si>
  <si>
    <t xml:space="preserve">College of Business, Department of Accounting and Information Systems (dept. 340100)</t>
  </si>
  <si>
    <t xml:space="preserve">College Assistant Professor (non-tenure-track professorial; teaching faculty)</t>
  </si>
  <si>
    <t xml:space="preserve">The NMSU careers board gives 2026-10-21. HigherEdJobs (JobCode 179581373) shows Application Due 10/22/2026. Use 10/21 as the safe deadline, 7 days from 2026-10-14.</t>
  </si>
  <si>
    <t xml:space="preserve">2027-01-14</t>
  </si>
  <si>
    <t xml:space="preserve">No sponsorship language appears in the posting or HigherEdJobs snippets. Aggregators report about 259 H-1B LCAs filed by NMSU overall, not H-1B-dependent. That data is university-wide, so it does not confirm sponsorship for this role.</t>
  </si>
  <si>
    <t xml:space="preserve">No industry experience requirement or preference appears in retrieved text. The only experience requirement is to qualify under AACSB academic-qualification standards.</t>
  </si>
  <si>
    <t xml:space="preserve">Master's or PhD in IS or a related area from an AACSB-accredited business school (other accredited programs such as ABET may be considered). Must meet AACSB academic qualifications. Teaches undergraduate IS courses online for NMSU Global Campus. Remote allowed with NM residents preferred, but not eligible for employment in CA, CO, IN, NJ, NY, OH, OR, PA, WA or MN. Start January 14, 2027.</t>
  </si>
  <si>
    <t xml:space="preserve">This is an IS teaching line inside an AACSB business school, which falls under the rule 'IS/MIS positions in business schools are all 5'. Track and rank do not lower the score. The candidate is instructor of record for Intro to Connected Systems for Business (cloud, IoT, Azure labs). They have TA'd Machine Learning for Business (Python) and Intro to IT Management labs (~100 students). Their teaching interests (IS for business, Python, cloud, ML/analytics, AI in business) map directly onto an undergraduate IS teaching load. The minimum degree is a master's in IS, so being ABD (MS from UWM Lubar) should qualify. Risks: (1) the start date of Jan 14, 2027 precedes the June 2027 PhD, so the candidate would have to begin teaching full-time while finishing the dissertation, or negotiate a later start; (2) a non-tenure teaching role offers little research support for the ISR/MISQ pipeline; (3) remote work is barred in some states, but Wisconsin is not on the list; (4) the deadline of Oct 21/22 is days away.</t>
  </si>
  <si>
    <t xml:space="preserve">https://www.higheredjobs.com/faculty/details.cfm?JobCode=179581373</t>
  </si>
  <si>
    <t xml:space="preserve">Likely the same position as r46, the remote-locations copy of HigherEdJobs 179581373. The Jan 14, 2027 start precedes the June 2027 PhD, so post-completion OPT is unavailable at the start. Confirm whether pre-completion OPT or CPT, or a deferred start, is acceptable, and ask the department directly about H-1B. For a remote role, H-1B/LCA filings would also have to cover the candidate's home work location.</t>
  </si>
  <si>
    <t xml:space="preserve">College Assistant Professor - Information Systems</t>
  </si>
  <si>
    <t xml:space="preserve">2026-10-22</t>
  </si>
  <si>
    <t xml:space="preserve">https://careers.nmsu.edu/jobs/college-assistant-professor-las-cruces-new-mexico-united-states-a2750562-96c8-46b8-a2a4-479016a7e235</t>
  </si>
  <si>
    <t xml:space="preserve">College Assistant Professor (9-month, non-tenure-track, teaching-focused)</t>
  </si>
  <si>
    <t xml:space="preserve">HigherEdJobs (JobCode 179581373) lists the application due date as 10/22/2026, posted about 3 days before 2026-10-14. The NMSU board copy of the same job (r119) was recorded as 2026-10-21, so apply by 10/21 to be safe. Search results also showed an Oct 31, 2026 close, but that belongs to a different NMSU Accounting &amp; IS 'Assistant Professor' listing (ABD OK, PhD by Aug 2027), not this College Assistant Professor role.</t>
  </si>
  <si>
    <t xml:space="preserve">Neither the posting nor the HigherEdJobs snippets mention visa sponsorship. Third-party aggregators (Ellis, MyVisaJobs, 1point3acres) report that NMSU has filed about 259 H-1B LCAs and is not H-1B-dependent. Those figures cover the whole university, not this position, so ask the contact (Kevin Melendrez, kdm@nmsu.edu, 575-646-4901).</t>
  </si>
  <si>
    <t xml:space="preserve">Retrieved posting text does not mention industry or professional experience. It requires only that the master's or PhD holder have 'experience that will qualify them to meet AACSB academic qualifications', which is an academic standard, not an industry one.</t>
  </si>
  <si>
    <t xml:space="preserve">Master's or PhD in Information Systems or a related area from an AACSB-accredited business school; degrees from other accredited programs (e.g., ABET) may be considered. Must meet AACSB academic qualifications. Must be able to teach undergraduate IS courses online (NMSU Global Campus). 9-month, $87,410/yr, start January 14, 2027. Fully remote candidates considered, but the job cannot be performed from CA, CO, IN, NJ, NY, OH, OR, PA, WA or MN.</t>
  </si>
  <si>
    <t xml:space="preserve">Information Systems teaching line (Accounting &amp; IS dept, online Global Campus): direct match to the candidate's IS teaching (instructor of record Connected Systems for Business, IT Mgmt labs ~100 students, cloud/Python). Timing risk: 2027-01-14 start precedes June 2027 PhD (remote OK helps). Deadline 2026-10-22 - apply now.</t>
  </si>
  <si>
    <t xml:space="preserve">https://careers.nmsu.edu/jobs/search; https://www.higheredjobs.com/faculty/details.cfm?JobCode=179581373</t>
  </si>
  <si>
    <t xml:space="preserve">This is very likely the same job as r119: same HigherEdJobs code 179581373, salary, and start date. It is listed separately on the NMSU portal for Las Cruces and remote locations. Timing problem: the start date of Jan 14, 2027 falls before the expected PhD completion in June 2027, so post-completion OPT would not cover the start. The candidate would need pre-completion OPT or CPT (approved by the DSO), or the employer would need to agree to a later start. Teaching non-tenure-track, so it is OPT-acceptable if the start can be arranged.</t>
  </si>
  <si>
    <t xml:space="preserve">University of Pennsylvania</t>
  </si>
  <si>
    <t xml:space="preserve">Assistant Professor of Operations, Information and Decisions (Tenure Track) 2026-2027</t>
  </si>
  <si>
    <t xml:space="preserve">2026-10-23</t>
  </si>
  <si>
    <t xml:space="preserve">https://apply.interfolio.com/192153</t>
  </si>
  <si>
    <t xml:space="preserve">The Wharton School, Operations, Information and Decisions (OID) Department</t>
  </si>
  <si>
    <t xml:space="preserve">The Wharton School</t>
  </si>
  <si>
    <t xml:space="preserve">The 2026-10-23 priority date comes from the candidate's own export for Interfolio 192153. My extended search did not turn up the 2026-27 OID ad, so I could not confirm the date. The previous cycle (2025-26, Interfolio 175700) wanted materials by Nov 1, 2025, with a July 1, 2026 start. Sister Wharton ads for 2026-27 are still open: Statistics &amp; Data Science (Interfolio 193446) wants materials by Nov 15, 2026, and Management (Interfolio 191074) began review on Sep 15, 2026 for a July 1, 2027 start. Applying before 10/23 is the safe choice.</t>
  </si>
  <si>
    <t xml:space="preserve">Not stated. The prior cycle started July 1, so July 1, 2027 is likely but unconfirmed.</t>
  </si>
  <si>
    <t xml:space="preserve">Nothing found. The search results for the OID ads (the 2025-26 version on Inside Higher Ed, AOM, Chronicle, AcademicCareers and HigherEdJobs) say nothing about visa sponsorship, and the 2026-27 ad was not indexed.</t>
  </si>
  <si>
    <t xml:space="preserve">This is a research tenure-track Assistant Professor line in information systems or operations management. The prior-cycle ad asks for a PhD and research potential, not industry experience.</t>
  </si>
  <si>
    <t xml:space="preserve">PhD required. The prior cycle's ad accepted candidates expected to finish by June 30 of the year after the start date (the 2025-26 ad allowed completion by June 30, 2027). If the 2026-27 ad works the same way, a June 2027 PhD would qualify. The line covers IS or OM. Applications go through Interfolio 192153; questions go to oidrecruiting@wharton.upenn.edu.</t>
  </si>
  <si>
    <t xml:space="preserve">Wharton OID is a named score-4 example in the rubric: a combined business-school unit where IS is one of three areas. The fit on substance is strong. OID's information-systems group does IS economics, digital platforms and causal-inference empirics. The candidate brings an ISR R&amp;R and a MISQ submission on the creator economy, influencer dynamics, platform governance, misinformation and monetization (subscriptions, sponsorships). The candidate also brings econometrics/causal inference, time series, ML/LLM and multimodal (text/audio/video) methods. Teaching fits OID's analytics and IS courses: instructor of record for Intro to Connected Systems for Business (cloud, IoT, Azure labs), and TA for ML for Business (Python). Risks: this is an elite, highly selective search and a stretch for a UW-Milwaukee ABD. The PhD is expected June 2027, which last cycle's rule (PhD by June 30 of the start year) would allow. The priority date of 2026-10-23 is imminent. None of these risks change the field-based score.</t>
  </si>
  <si>
    <t xml:space="preserve">https://academiccareers.com/job/156623/assistant-professor-of-operations-information-and-decisions-tenure-track-2025-2026/; https://www.higheredjobs.com/faculty/details.cfm?JobCode=179270740; https://apply.interfolio.com/193446</t>
  </si>
  <si>
    <t xml:space="preserve">I found no evidence about sponsorship either way. Penn and Wharton research tenure-track hires are usually international, but my search did not confirm that. Ask oidrecruiting@wharton.upenn.edu. The deadline and the 2026-27 ad's wording come only from the candidate's export; check apply.interfolio.com/192153 directly. Sources: https://careers.insidehighered.com/job/3414964/ ; https://www.higheredjobs.com/faculty/details.cfm?JobCode=179270740 ; https://academiccareers.com/job/156623/ ; https://statistics.wharton.upenn.edu/recruiting/facultypositions/ ; https://mgmt.wharton.upenn.edu/faculty/management-faculty-positions-assistant-professor/</t>
  </si>
  <si>
    <t xml:space="preserve">Lecturer II - Management Information Systems (req38102)</t>
  </si>
  <si>
    <t xml:space="preserve">2026-10-29</t>
  </si>
  <si>
    <t xml:space="preserve">https://careers.insidehighered.com/job/3557474/lecturer-ii-management-information-systems/</t>
  </si>
  <si>
    <t xml:space="preserve">Lecturer II</t>
  </si>
  <si>
    <t xml:space="preserve">The Inside Higher Ed listing gives best consideration by 10/29/2026. This is a best-consideration date, not a hard close. This round's searches did not surface the date again, but the listing is still live on Inside Higher Ed and Chronicle.</t>
  </si>
  <si>
    <t xml:space="preserve">Nothing found. The Chronicle, Inside Higher Ed and Dreamwork listings for req38102 do not mention visa or H-1B sponsorship. The search summary says no result mentions sponsorship.</t>
  </si>
  <si>
    <t xml:space="preserve">The minimum qualifications are a master's degree and evidence or promise of teaching excellence. Industry or professional experience is not listed as required or preferred in the snippets seen.</t>
  </si>
  <si>
    <t xml:space="preserve">An earned master's degree in MIS, Information Systems, Cybersecurity or a closely related field from an accredited institution, or a strong prospect of finishing one by August 2027. Evidence of excellence, or promise of it, in teaching MIS core and elective courses at the undergraduate and graduate levels. Cybersecurity is preferred. The role is full-time, non-tenure-track on the Albuquerque main campus, with an anticipated start in August 2027. Salary per an aggregator is about $75k-$105k (not official).</t>
  </si>
  <si>
    <t xml:space="preserve">MIS lecturer in a business school (Ellis MIDS) = 5 regardless of track. Matches the instructor-of-record course (Connected Systems: cloud/IoT/Azure), the IT Management labs and IS-for-business teaching interests. A cybersecurity preference is a mild gap. Deadline 10/29/2026. Aug 2027 start fits.</t>
  </si>
  <si>
    <t xml:space="preserve">https://jobs.chronicle.com/job/38045945/lecturer-ii-management-information-systems/; https://www.dreamworkhq.com/job/af2044b9-fdfb-4385-845f-57fa8c2f380f</t>
  </si>
  <si>
    <t xml:space="preserve">This is a non-tenure-track teaching role, and the candidate already meets the master's-level minimum. Sponsorship is not stated, but UNM is a cap-exempt public university. Confirm with HR whether H-1B is offered for Lecturer II lines. Post-PhD OPT could cover the start. Apply before 10/29/2026 for best consideration, which falls before the user's 10/18 target window only if they apply early.</t>
  </si>
  <si>
    <t xml:space="preserve">San Diego State University</t>
  </si>
  <si>
    <t xml:space="preserve">Department of Management Information Systems Assistant Professor Pool (Information Systems) 2027-2028</t>
  </si>
  <si>
    <t xml:space="preserve">2026-10-30</t>
  </si>
  <si>
    <t xml:space="preserve">https://careers.sdsu.edu/en-us/job/559998/department-of-management-information-systems-assistant-professor-pool-information-systems-20272028</t>
  </si>
  <si>
    <t xml:space="preserve">Department of Management Information Systems</t>
  </si>
  <si>
    <t xml:space="preserve">Fowler College of Business</t>
  </si>
  <si>
    <t xml:space="preserve">Apply via PageUp by October 30, 2026, per the official SDSU careers page and Inside Higher Ed. The CSU Careers mirror leaves the closing date blank. Start date August 2027, contingent on state funding. Contact: Dr. Bongsik Shin, Chair (bshin@sdsu.edu).</t>
  </si>
  <si>
    <t xml:space="preserve">The search results showed no sponsorship language in the posting. A third-party site (Ellis) says SDSU has filed 142 H-1B LCAs in total and 30 H-1B LCAs in 2025, so the university does sponsor in general. Nothing confirms sponsorship for this job.</t>
  </si>
  <si>
    <t xml:space="preserve">No industry or professional experience requirement appeared in the search results. The research areas listed are Applied AI for Decision Support, Digital Innovation, or Supply Chain Management.</t>
  </si>
  <si>
    <t xml:space="preserve">Terminal (doctoral) degree in Information Systems or a related discipline, with all degree requirements met by August 2027. The candidate's expected June 2027 PhD fits this. The appointment depends on state funding. Older SDSU IS postings asked for a letter of interest, diversity statement, CV, research and teaching statements, and 3+ references.</t>
  </si>
  <si>
    <t xml:space="preserve">MIS dept TT pool with research in Applied AI for Decision Support or Digital Innovation: direct match to the candidate's ML/LLM methods and platform/digital-innovation research and IS teaching. Deadline 2026-10-30; Aug 2027 fits; state-funding contingent.</t>
  </si>
  <si>
    <t xml:space="preserve">https://csucareers.calstate.edu/en-us/job/559998/department-of-management-information-systems-assistant-professor-pool-information-systems-20272028; https://careers.insidehighered.com/job/3529899/department-of-management-information-systems-assistant-professor-pool/; https://academiccareers.aisnet.org/job/assistant-professor-of-information-systems/85141165/; https://careercenter.informs.org/job/tenure-track-assistant-professor-of-information-systems-san-diego-california-5436</t>
  </si>
  <si>
    <t xml:space="preserve">A good fit for an MIS PhD. Salary is $148K-$158K. Ask the chair to confirm H-1B sponsorship. The candidate could start on OPT, and SDSU has a history of H-1B filings. Apply by Oct 30, 2026.</t>
  </si>
  <si>
    <t xml:space="preserve">Department of Management Information Systems Assistant Professor Pool (Data Science) 2027-2028</t>
  </si>
  <si>
    <t xml:space="preserve">https://careers.sdsu.edu/en-us/job/560000/department-of-management-information-systems-assistant-professor-pool-data-science-20272028</t>
  </si>
  <si>
    <t xml:space="preserve">Applications received by October 30, 2026 get full consideration; the position stays open until filled. Start date August 2027, contingent on state funding. Contact: Dr. Bongsik Shin, Chair (bshin@sdsu.edu).</t>
  </si>
  <si>
    <t xml:space="preserve">Search summary: none of the job postings mention visa sponsorship. A third-party site (Ellis) says SDSU sponsors H-1B, with 30 H-1B LCAs and 0 PERM filings in 2025. This is university-wide data, not language from the posting.</t>
  </si>
  <si>
    <t xml:space="preserve">No industry experience requirement. The preferred qualifications cover publications, presentations and/or funding, potential for extramural funding, and outstanding teaching experience.</t>
  </si>
  <si>
    <t xml:space="preserve">Terminal (doctoral) degree in Information Systems or a related discipline, with all degree requirements met by August 2027. The department wants teaching interest in advanced data science/statistics and research interest in data science/statistics and/or applied AI. Preferred: strong publication record, potential for extramural funding, outstanding teaching experience. The appointment depends on state funding.</t>
  </si>
  <si>
    <t xml:space="preserve">The learned rubric scores this a 5. It names 'SDSU Data Science inside the MIS department' as a 5 example, and the line sits in a business-school MIS department. CV fit: the candidate does ML/LLM and multimodal (text/audio/video) data work, econometrics/causal inference and time series. Their research on the creator economy, platform governance and misinformation applies AI/data science to IS problems. They TA'd Machine Learning for Business (Python), and their teaching interests include ML &amp; data analytics, Python for business and AI in business. Risks: (1) the posting stresses 'advanced data science and statistics' teaching, so the candidate's Management Science PhD and applied-econometrics background need to show statistical depth; there is no formal statistics degree. (2) The PhD is expected June 2027 and the start is August 2027, so the timing works, but the hire depends on state funding. (3) Only about two weeks remain before the October 30 full-consideration date. Rank (assistant) fits an ABD candidate.</t>
  </si>
  <si>
    <t xml:space="preserve">https://careers.insidehighered.com/job/3529588/department-of-management-information-systems-assistant-professor-pool-data-science-2027-2028/; https://careercenter.informs.org/job/tenure-track-assistant-professor-of-data-science-san-diego-california-5435; https://talents.vaia.com/companies/csu/san-diego/tenure-track-data-science-professor-teaching-research-145174656/</t>
  </si>
  <si>
    <t xml:space="preserve">A Data Science-focused tenure-track line in the MIS department. An MIS PhD qualifies, but the candidate needs a data science/statistics teaching and research profile. Ask the chair to confirm sponsorship. Apply by Oct 30, 2026 for full consideration.</t>
  </si>
  <si>
    <t xml:space="preserve">California State University, Fresno</t>
  </si>
  <si>
    <t xml:space="preserve">26-27 AY Temporary Faculty Pool (Lecturer) - Information Systems</t>
  </si>
  <si>
    <t xml:space="preserve">https://csucareers.calstate.edu/mob/cw/en-us/job/556788/2627-ay-temporary-faculty-pool-lecturer-lecturer-in-business-law</t>
  </si>
  <si>
    <t xml:space="preserve">Craig School of Business</t>
  </si>
  <si>
    <t xml:space="preserve">Lecturer (temporary faculty pool, part-time)</t>
  </si>
  <si>
    <t xml:space="preserve">The Chronicle listing calls the temporary faculty pool "continuously open," with positions filled as needed based on student enrollment and funding. The search did not show this posting's "Applications close" field. The October 31, 2026 full-consideration date for Spring 2027, cited earlier, is still unverified. The listing was posted Mar 25, 2026.</t>
  </si>
  <si>
    <t xml:space="preserve">AY 2026-27 terms as needed. Sibling pool postings list Fall 2026 (Aug 19 to Dec 22, 2026) and Spring 2027 (Jan 15 to May 26, 2027); the IS posting's own dates were not visible.</t>
  </si>
  <si>
    <t xml:space="preserve">Chronicle listing (job 37966998): "California State University, Fresno does not sponsor Temporary Faculty for work visas." The Careers in Government copy says: "Appointees will be required to demonstrate eligibility to work in the United States (Fresno State is not a sponsoring agency for Temporary Faculty positions)."</t>
  </si>
  <si>
    <t xml:space="preserve">The search results did not mention industry or professional experience. They did not show the full qualifications section either.</t>
  </si>
  <si>
    <t xml:space="preserve">The results did not include the full qualifications list. The salary note sets a Master's-degree pay range of $5,507-6,677/month at a full 15-WTU load, so a Master's is likely the minimum. Courses covered include IS 130, IS 181, IS 166 and IS 186. Appointments depend on budget and enrollment.</t>
  </si>
  <si>
    <t xml:space="preserve">This is an IS line in a business school (Craig ISDS), so it scores 5 under the learned rubric, which counts part-time IS adjunct and lecturer pools as matches. The course list fits the CV well. The candidate was instructor of record for Intro to Connected Systems for Business (cloud, IoT, Azure labs), which maps to computer networks management and advanced network design. The Python TA role in ML for Business maps to programming fundamentals, and the Intro to IT Management labs (~100 students) map to intro IS. The candidate's research (creator economy, platform governance, causal inference, ML/LLMs; ISR R&amp;R, MISQ under review) is not used in a teaching-only temporary role. Risks: the job is part-time and temporary with no tenure line and no research support. It is an AY 2026-27 pool, so a Spring 2027 assignment would require in-person teaching in Fresno before the June 2027 PhD defense at UWM, which conflicts with the Summer/Fall 2027 target start. A Fall 2027 start would likely need the AY 2027-28 pool instead. These risks do not lower the field-based score.</t>
  </si>
  <si>
    <t xml:space="preserve">https://jobs.chronicle.com/job/37966998/26-27-ay-temporary-faculty-pool-lecturer-information-systems/</t>
  </si>
  <si>
    <t xml:space="preserve">This is a poor fit. The pool is part-time and temporary, and it states that Fresno State will not sponsor visas. Applicants must already hold US work authorization. OPT would technically count, since it gives an EAD. However, the candidate's PhD is expected in June 2027, and the AY 2026-27 pool ends around May 2027. So OPT would not be available during this pool's terms, apart from possibly CPT. A future 27-28 pool could be done on OPT, but it would never lead to H-1B.</t>
  </si>
  <si>
    <t xml:space="preserve">Stony Brook University</t>
  </si>
  <si>
    <t xml:space="preserve">Assistant/Associate Professor of Practice/Lecturer position in Analytics (ref. #193738)</t>
  </si>
  <si>
    <t xml:space="preserve">2026-11-05</t>
  </si>
  <si>
    <t xml:space="preserve">https://www.stonybrook.edu/commcms/faculty-jobs/positions/index.php</t>
  </si>
  <si>
    <t xml:space="preserve">Not stated (Analytics area, College of Business)</t>
  </si>
  <si>
    <t xml:space="preserve">Assistant or Associate Professor of Practice, or Lecturer (rank set by qualifications; at the candidate's career stage the candidate would probably be hired as Lecturer)</t>
  </si>
  <si>
    <t xml:space="preserve">Stony Brook's official faculty-jobs page (stonybrook.edu/jobs/faculty.html) lists 'Assistant/Associate Professor of Practice/ Lecturer position in Analytics | College of Business | 193738 | 2026-11-05'. The closing date is 2026-11-05, 22 days after today. No priority-review date was seen. Because it closes after 10/18/2026, it is not urgent in the before-10/18 sense.</t>
  </si>
  <si>
    <t xml:space="preserve">Not stated (probably Spring or Fall 2027; confirm with the department)</t>
  </si>
  <si>
    <t xml:space="preserve">Nothing found. The search returned only the official listing line: title, college, ref. #193738 and closing date 2026-11-05. No sponsorship or work-authorization statement appeared. The full text is on Interfolio or SBU HR, so ask HR or the College of Business before applying.</t>
  </si>
  <si>
    <t xml:space="preserve">The search results did not include the qualifications. Professor of Practice titles often expect practitioner or industry experience, but the Lecturer option in the same posting may not. Check the full Interfolio text, since the candidate has no industry experience.</t>
  </si>
  <si>
    <t xml:space="preserve">Not found in the results. The degree, teaching-experience and start-date requirements were not visible. The full posting is on Stony Brook's Interfolio or HR site.</t>
  </si>
  <si>
    <t xml:space="preserve">Practice/lecturer line in business analytics (4); matches ML for Business (Python) TA and analytics teaching interests; as ABD likely hired as Lecturer. Deadline 2026-11-05; start unstated.</t>
  </si>
  <si>
    <t xml:space="preserve">https://www.stonybrook.edu/faculty-jobs/positions/; https://www.stonybrook.edu/jobs/faculty.html; https://careercenter.informs.org/q-business-professor-jobs.html</t>
  </si>
  <si>
    <t xml:space="preserve">This is a non-tenure-track Professor of Practice/Lecturer line in Analytics (Operations &amp; Decision Analytics area), College of Business. With no industry experience, the candidate would most likely be hired at the Lecturer rank. Sponsorship is not stated; SUNY campuses have generally sponsored H-1B for faculty, but this posting does not say so. The job could start on OPT, but confirm sponsorship with HR. Sources: https://www.stonybrook.edu/jobs/faculty.html ; https://www.stonybrook.edu/commcms/business/faculty-research/research.php</t>
  </si>
  <si>
    <t xml:space="preserve">Arizona State University</t>
  </si>
  <si>
    <t xml:space="preserve">Assistant, Associate, Full Professor (Open Rank) - Department of Information Systems</t>
  </si>
  <si>
    <t xml:space="preserve">2026-11-08</t>
  </si>
  <si>
    <t xml:space="preserve">Not this posting - you applied to Arizona State University on 2026-10-08 for another line; confirm if you also want this one</t>
  </si>
  <si>
    <t xml:space="preserve">https://jobs.chronicle.com/job/38049560/assistant-associate-full-professor-open-rank-department-of-information-systems/?TrackID=10</t>
  </si>
  <si>
    <t xml:space="preserve">W. P. Carey School of Business</t>
  </si>
  <si>
    <t xml:space="preserve">AZ</t>
  </si>
  <si>
    <t xml:space="preserve">Chronicle listing 38049560 (posted Oct 8, 2026) gives an application deadline of November 8, 2026. After that, applications are still accepted on a rolling basis for a reserve pool. The Chronicle validThrough date of 2026-12-08 is likely just when the listing expires. Applications go through Interfolio. A separate Assistant Professor (tenure-track) IS posting, Chronicle 38034966, had an October 9, 2026 deadline, which has passed.</t>
  </si>
  <si>
    <t xml:space="preserve">nothing found. The search results do not mention visa sponsorship or work authorization. Confirm with ASU HR or the department (isrecruiting@asu.edu).</t>
  </si>
  <si>
    <t xml:space="preserve">No industry or professional experience requirement appears. The criteria cover research, teaching and service, including potential for top-tier journal publications.</t>
  </si>
  <si>
    <t xml:space="preserve">Assistant rank requires a PhD in business administration, information systems or a closely related field. ABD candidates must successfully defend their dissertation by July 1, 2027. The candidate's expected June 2027 completion meets this only if the defense happens by July 1. Also required: evidence of potential for research excellence in top-tier journals, and being able and willing to teach AI in business, business analytics and IS courses at the undergraduate and graduate levels. The job requires physical presence on the Tempe campus and starts Fall 2027.</t>
  </si>
  <si>
    <t xml:space="preserve">Open-rank line in ASU's IS department, so 5 under the rule for any rank. Research fit as above (ISR R&amp;R, MISQ under review, ICIS/HICSS/AMCIS). Assistant level is included, but open rank can tilt toward senior hires. Fall 2027 start; on-site in Tempe.</t>
  </si>
  <si>
    <t xml:space="preserve">https://jobs.chronicle.com/job/38049560/assistant-associate-full-professor-open-rank-department-of-information-systems/</t>
  </si>
  <si>
    <t xml:space="preserve">Open-rank (Assistant, Associate or Full) research tenure-track/tenured line in the W. P. Carey Department of Information Systems, a strong fit for an MIS PhD. Sponsorship is not stated either way. As a large R1, ASU usually sponsors H-1B for tenure-track faculty, but these results do not confirm that. The candidate could start on OPT, or STEM OPT if the degree is STEM-designated. Apply before November 8, 2026.</t>
  </si>
  <si>
    <t xml:space="preserve">Virginia Commonwealth University</t>
  </si>
  <si>
    <t xml:space="preserve">Information Systems Faculty</t>
  </si>
  <si>
    <t xml:space="preserve">2026-11-15</t>
  </si>
  <si>
    <t xml:space="preserve">https://www.jobs.virginia.gov/jobs/information-systems-faculty-vcu-main-campus-virginia-united-states</t>
  </si>
  <si>
    <t xml:space="preserve">Associate or Full Professor (tenure-track/tenured)</t>
  </si>
  <si>
    <t xml:space="preserve">Closes Nov 15, 2026, 23:55 EST on jobs.virginia.gov, which mirrors VCU Jobs. Posted Sep 21, 2026. Contact: Victoria Yoon (vyyoon@vcu.edu).</t>
  </si>
  <si>
    <t xml:space="preserve">nothing found: the search results show no visa or work-authorization language in the jobs.virginia.gov or Chronicle listings</t>
  </si>
  <si>
    <t xml:space="preserve">Industry experience is not required. One preferred item is 'established or emerging partnerships with healthcare organizations, public agencies, community organizations or industry', which means research partnerships, not prior industry employment.</t>
  </si>
  <si>
    <t xml:space="preserve">Senior rank only (Associate or Full Professor, tenure-track or tenured). Minimum: a Ph.D. and an internationally recognized IS research program integrating AI and advanced analytics in healthcare systems, plus publications in high-quality peer-reviewed journals suited to career stage. Preferred: external research funding, strong teaching and mentoring. 9-month appointment, hybrid, $310K-$340K.</t>
  </si>
  <si>
    <t xml:space="preserve">IS department in a business school = 5 at any rank. The AI and advanced-analytics angle fits the ML/LLM methods, though the healthcare focus is off the creator-economy research. Risk: Associate/Full only ($310-340K), a long reach for an ABD. Deadline 11/15/2026.</t>
  </si>
  <si>
    <t xml:space="preserve">https://jobs.chronicle.com/job/38042047/information-systems-faculty/?TrackID=10</t>
  </si>
  <si>
    <t xml:space="preserve">This is a senior hire. An ABD candidate finishing the PhD in June 2027 with no established research program would almost certainly not meet the minimum qualifications, so it is a poor fit for an assistant-level candidate, although the line is tenure-track and could in principle start on OPT. Nothing on sponsorship was found; ask HR or the contact.</t>
  </si>
  <si>
    <t xml:space="preserve">Harvard University</t>
  </si>
  <si>
    <t xml:space="preserve">Tenure-Track Position in Technology and Operations Management - 2027 (Assistant Professor)</t>
  </si>
  <si>
    <t xml:space="preserve">2026-11-29</t>
  </si>
  <si>
    <t xml:space="preserve">https://jobs.chronicle.com/job/38020837/harvard-business-school-faculty-openings/</t>
  </si>
  <si>
    <t xml:space="preserve">Technology and Operations Management (TOM) Unit</t>
  </si>
  <si>
    <t xml:space="preserve">Harvard Business School</t>
  </si>
  <si>
    <t xml:space="preserve">Complete job packet due 29 November 2026; materials reviewed on a rolling basis, so early submission strongly encouraged (gainrep post and Chronicle job 38020837 both give 29 Nov 2026). Start July 2027.</t>
  </si>
  <si>
    <t xml:space="preserve">July 2027</t>
  </si>
  <si>
    <t xml:space="preserve">nothing found - the search results (gainrep, Chronicle, AOM OSCM/TIM postings) do not mention visa or work-authorization sponsorship</t>
  </si>
  <si>
    <t xml:space="preserve">Posting asks for an outstanding doctoral record and strong research potential; no industry/professional experience requirement mentioned.</t>
  </si>
  <si>
    <t xml:space="preserve">PhD expected in the current academic year (2026-27) or received recently (preferably within the last 3 years). Submit CV, job market paper, research statement, teaching statement, other papers/working papers, and 3 recommendation letters. Research areas include empirical OM, new product development, economics/management of innovation, economics of IT, digital transformation, applied AI/data science/analytics, and supply chain.</t>
  </si>
  <si>
    <t xml:space="preserve">HBS TOM, rated 4 in the learned examples. The digital-transformation strand fits the platform, creator-economy and IS-economics agenda and the causal-inference methods. Extremely competitive. Deadline 2026-11-29; July 2027 start.</t>
  </si>
  <si>
    <t xml:space="preserve">https://oscm.aom.org/discussion/tenure-track-assistant-professor-faculty-position-hbs-technology-and-operations-management-tom-unit-1; https://careercenter.informs.org/jobs; https://www.gainrep.com/post/84f0cba1-db2e-4ef3-b7d1-1eafdaf66f82</t>
  </si>
  <si>
    <t xml:space="preserve">Good fit for an MIS ABD finishing June 2027 (economics of IT / digital transformation / applied AI listed). Listed 12-month base salary is $315,000. Harvard routinely hires international faculty, but this posting says nothing about sponsorship. The candidate would start on OPT; confirm H-1B support with HBS Faculty Recruiting. Details come from the aggregator (gainrep) and Chronicle; no official HBS page was found.</t>
  </si>
  <si>
    <t xml:space="preserve">Bowling Green State University</t>
  </si>
  <si>
    <t xml:space="preserve">Assistant Professor of Business Analytics</t>
  </si>
  <si>
    <t xml:space="preserve">2026-11-30</t>
  </si>
  <si>
    <t xml:space="preserve">https://www.bgsu.edu/business/faculty-and-staff/job-opportunities.html</t>
  </si>
  <si>
    <t xml:space="preserve">Department of Business Analytics, Economics, and Information Systems (posting's department field reads 'Economics Dept - Faculty')</t>
  </si>
  <si>
    <t xml:space="preserve">Allen W. and Carol M. Schmidthorst College of Business (Division: Dean of Business)</t>
  </si>
  <si>
    <t xml:space="preserve">Job BGSU01995: opening date 10/02/2026, closing date 11/30/2026 11:59 PM Eastern (a ZipRecruiter copy of the BGSU posting shows these dates). Apply through BGSU Office of Human Resources (NeoEd). The posting is open as of 2026-10-14. Salary depends on qualifications. Location: Main Campus, Bowling Green, OH.</t>
  </si>
  <si>
    <t xml:space="preserve">Not stated (doctorate required by the starting date; presumably August/Fall 2027)</t>
  </si>
  <si>
    <t xml:space="preserve">The search results showed no visa or sponsorship statement in the BGSU01995 posting. BGSU's university-wide sponsorship page (bgsu.edu/international-programs-and-partnerships/hiring/sponsorship.html) says the immigrant (permanent residency) track is most appropriate for faculty appointed to a tenured or tenure-track position. It also says International Programs &amp; Partnerships must be contacted for visa verification before an international hire is started. Third-party H-1B trackers (Ellis, MyVisaJobs) report BGSU filed about 19 H-1B LCAs in 2025. This is a positive signal, but the posting itself states nothing.</t>
  </si>
  <si>
    <t xml:space="preserve">The posting text found in the search results mentions no industry or professional experience requirement. It focuses on a research agenda and the doctorate.</t>
  </si>
  <si>
    <t xml:space="preserve">Doctorate in business analytics, statistics, data science, or a closely related field by the start date; an MIS/Management Science PhD expected June 2027 would likely count as closely related, and the start date is presumably Fall 2027. Active research agenda in business analytics, data visualization, or AI applied to business, aimed at publishing in high-quality journals. The department is Business Analytics, Economics, and Information Systems; the posting's department field reads 'Economics Dept - Faculty'.</t>
  </si>
  <si>
    <t xml:space="preserve">Business-analytics tenure-track line in the Business Analytics, Economics &amp; IS department, which scores 4. Data visualization and AI for business match the ML for Business (Python) TA role, the ML/LLM and multimodal methods, and the AI-in-business teaching interest. Deadline 2026-11-30.</t>
  </si>
  <si>
    <t xml:space="preserve">https://www.bgsu.edu/provost/resources/employment-recruitment/faculty-employment-opportunities.html; https://www.ziprecruiter.com/co/bowling-green-state-university/Jobs/Assistant-Professor/--in-Ohio</t>
  </si>
  <si>
    <t xml:space="preserve">Good fit for an MIS/analytics PhD candidate with no industry experience. Tenure-track at a university whose policy supports sponsoring tenure-track faculty, so OPT can cover the start and then H-1B/PR. The deadline of 11/30/2026 is after 10/18/2026. The third-party listing text was partly garbled, so check details on the official BGSU NeoEd posting.</t>
  </si>
  <si>
    <t xml:space="preserve">University of North Carolina at Greensboro</t>
  </si>
  <si>
    <t xml:space="preserve">Full-time Term Lecturer / Visiting / Clinical Faculty Pool, AY 2026-2027</t>
  </si>
  <si>
    <t xml:space="preserve">https://spartantalent.uncg.edu/postings/33841</t>
  </si>
  <si>
    <t xml:space="preserve">Multiple departments, including Information Systems and Supply Chain Management (ISSCM)</t>
  </si>
  <si>
    <t xml:space="preserve">Bryan School of Business and Economics (UNCG general non-tenure-track faculty pool)</t>
  </si>
  <si>
    <t xml:space="preserve">Lecturer / Visiting / Clinical faculty (non-tenure-track, term)</t>
  </si>
  <si>
    <t xml:space="preserve">From the file evidence: review begins immediately and continues through November 30, 2026. The pool stays active only for AY 2026-2027. A similar ad for AY 2027-28 positions is expected around December 2026 and is not posted yet. The one extended search (2026-10-14) did not bring up posting 33841 itself, so the date could not be checked again.</t>
  </si>
  <si>
    <t xml:space="preserve">AY 2026-2027 (as needed)</t>
  </si>
  <si>
    <t xml:space="preserve">Nothing found. The search returned only general UNCG/Bryan School pages and the Spartan Talent HR overview, with no visa or sponsorship wording for posting 33841. The file evidence also says nothing about sponsorship.</t>
  </si>
  <si>
    <t xml:space="preserve">No qualifications text was found for this pool posting. Neither the file evidence nor the search results mention professional or industry experience.</t>
  </si>
  <si>
    <t xml:space="preserve">Qualifications were not found in the search. This is an applicant POOL, not a specific vacancy. It covers full-time term lecturer, visiting and clinical faculty in several Bryan School departments, including Information Systems and Supply Chain Management (ISSCM). Positions are non-tenure-track, hired as needed, for AY 2026-27 only.</t>
  </si>
  <si>
    <t xml:space="preserve">Bryan School full-time term pool that covers the ISSCM department (IS, business analytics), so IS is one area of a multi-department pool = 4. Fits the IS/IT Management and analytics teaching. Risk: AY 2026-27 only and as-needed, so timing clashes with the 2027 PhD unless used as an interim role. Deadline 11/30/2026.</t>
  </si>
  <si>
    <t xml:space="preserve">https://spartantalent.uncg.edu/postings/search?sort=227+asc</t>
  </si>
  <si>
    <t xml:space="preserve">Poor timing fit for this candidate. The pool fills as-needed term positions for AY 2026-2027 only, which ends before the PhD (June 2027) and before post-completion OPT can begin. While still on F-1, the candidate cannot take a full-time off-campus faculty job without pre-completion OPT or CPT. A better target is the expected AY 2027-28 pool, which should be advertised around December 2026. Watch spartantalent.uncg.edu. If later evidence shows sponsorship, a clinical role in this pool would be 'Teaching non-tenure-track'. Sources: https://hrs.uncg.edu/talent-acquisition/spartan-talent/ ; posting URL https://spartantalent.uncg.edu/postings/33841 (from the file; not reached by the search).</t>
  </si>
  <si>
    <t xml:space="preserve">Instructor, Instructor II or Senior Instructor of Analytics/Statistics</t>
  </si>
  <si>
    <t xml:space="preserve">2026-12-01</t>
  </si>
  <si>
    <t xml:space="preserve">https://jobs.tcu.edu/jobs/instructor-instructor-ii-or-senior-instructor-of-analytics-statistics-tcu-main-campus-texas-united-states</t>
  </si>
  <si>
    <t xml:space="preserve">Information Systems &amp; Supply Chain Management (INSC)</t>
  </si>
  <si>
    <t xml:space="preserve">Instructor / Instructor II / Senior Instructor (non-tenure-track, full-time)</t>
  </si>
  <si>
    <t xml:space="preserve">The 2026-12-01 date comes from the candidate's own list and is unconfirmed. The extended search did not find the official jobs.tcu.edu posting with this exact title, so the closing date and whether it is still open could not be checked. The only Neeley result was a separate Statistics Faculty Adjunct Pool (deadline 'Not applicable'), which is not this full-time role.</t>
  </si>
  <si>
    <t xml:space="preserve">Not stated (deadline suggests AY 2027-28)</t>
  </si>
  <si>
    <t xml:space="preserve">Nothing found. The official posting text did not appear in the results, and nothing about visa sponsorship was found for this role.</t>
  </si>
  <si>
    <t xml:space="preserve">The posting text was not retrieved, so no industry-experience requirement could be confirmed. Instructor, Instructor II and Senior Instructor ranks are teaching-focused, and the Senior Instructor rank may expect prior teaching experience. Verify this on the posting.</t>
  </si>
  <si>
    <t xml:space="preserve">Unconfirmed: the qualifications were not found in the search results. Rank depends on experience (Instructor, Instructor II or Senior Instructor). Expect a graduate degree in analytics or statistics or a related field, and teaching ability in business statistics or analytics. Verify on jobs.tcu.edu.</t>
  </si>
  <si>
    <t xml:space="preserve">This is a full-time analytics/statistics teaching line in Neeley's IS &amp; Supply Chain department, which is a combined unit with IS as one area. Under the learned rubric that makes it business analytics, a 4. The statistics emphasis keeps it below the IS/MIS score of 5. The candidate's CV fits well. The candidate has an MIS-concentration PhD and empirical analytics research (econometrics and causal inference, time series, ML and LLMs, multimodal data; R&amp;R at ISR, under review at MISQ). The candidate has been instructor of record for Intro to Connected Systems for Business and a TA for Machine Learning for Business (Python), and the candidate's teaching interests include ML and data analytics and Python for business. The instructor track does not lower the score. Risks: (1) the role may focus on business statistics courses that sit outside the candidate's research identity; (2) the candidate is ABD with a June 2027 PhD, though an instructor line rarely requires the PhD in hand; (3) the start date is not stated, so a Fall 2027 start is assumed.</t>
  </si>
  <si>
    <t xml:space="preserve">https://www.indeed.com/q-tcu-academic-jobs.html; https://www.neeley.tcu.edu/Directory/Departments/Role/2</t>
  </si>
  <si>
    <t xml:space="preserve">This is a full-time, non-tenure-track teaching role in the Information Systems &amp; Supply Chain Management department at Neeley in Fort Worth. As a full-time role it can be done on OPT, or on STEM OPT if TCU uses E-Verify (not checked). Long-term H-1B sponsorship is not stated, so ask HR. Check jobs.tcu.edu directly to confirm the posting is live and the 2026-12-01 deadline, because the search could not verify either. Sources: https://jobs.tcu.edu/jobs/search/faculty-neeley ; https://jobs.tcu.edu/jobs/statistics-faculty-adjunct-pool-tcu-main-campus-texas-united-states-7be838ce-456c-431e-84a9-451daab455e9</t>
  </si>
  <si>
    <t xml:space="preserve">Assistant Professor - Computer Information Systems (496945)</t>
  </si>
  <si>
    <t xml:space="preserve">https://jobs.chronicle.com/job/38043006/assistant-professor-computer-information-systems-496945-/</t>
  </si>
  <si>
    <t xml:space="preserve">Department of Information Science Technology (IST), Computer Information Systems program</t>
  </si>
  <si>
    <t xml:space="preserve">Cullen College of Engineering</t>
  </si>
  <si>
    <t xml:space="preserve">Per the item file, application review begins December 1, 2026, with no hard closing date shown, so it is probably open until filled. The search found the Chronicle listing dated Sep 23, 2026 but did not show the Dec 1 date in its snippet. Confirm it on careers.uh.edu.</t>
  </si>
  <si>
    <t xml:space="preserve">nothing found. The search summary says no visa-sponsorship terms appeared in the results for this position. As a public R1, UH commonly sponsors H-1B for tenure-track faculty, but this posting does not say so.</t>
  </si>
  <si>
    <t xml:space="preserve">The posting asks for an outstanding scholarly record shown by high-impact peer-reviewed publications. Industry experience is not mentioned.</t>
  </si>
  <si>
    <t xml:space="preserve">Doctorate in Information Systems, Computer Science, Computer Engineering or a related field (from an earlier posting for the same program). An outstanding scholarly record with high-impact journal and conference publications. Priority research areas: Cybersecurity, Quantum Computing, AI/ML, or where they meet. The role is in the Cullen College of Engineering (Department of Information Science Technology, CIS program), not the business school. Fall 2027 start.</t>
  </si>
  <si>
    <t xml:space="preserve">The field is explicitly Computer Information Systems, but the home is an IST department inside the engineering college, not a business school. That fits the rubric's tier for an explicit Information Systems line outside business, so it scores 4 rather than 5. The AI/ML priority matches the candidate's ML and LLM methods and multimodal text, audio and video data work, and the HICSS, AMCIS and ICIS papers show research output. The candidate's teaching fits a CIS program well: instructor of record for Intro to Connected Systems for Business (cloud, IoT, Azure labs) and TA for Machine Learning for Business in Python. Risks: the department's research priorities are technical (cybersecurity, quantum) and stress external funding, while the candidate's work is in IS economics and the creator economy (influencers, monetization, platform governance) using econometrics. The candidate is ABD with the PhD expected June 2027, which fits a Fall 2027 start only if the degree is finished on time. The exact degree requirement for 496945 was not shown; other UH CIS postings list information systems, CS, computer engineering or a related doctorate, which would include an MIS PhD.</t>
  </si>
  <si>
    <t xml:space="preserve">Best fit of the three: research tenure-track, no industry requirement, Fall 2027 start after the June 2027 PhD, so OPT could cover the start. Weaker if the candidate's research is not in cybersecurity, quantum or AI/ML. The engineering-college setting may favor CS-style publication records. Sources: https://jobs.chronicle.com/job/38043006/assistant-professor-computer-information-systems-496945-/ ; https://careers.uh.edu/jobs/assistant-professor-computer-information-systems-program-houston-texas-united-states</t>
  </si>
  <si>
    <t xml:space="preserve">University of Illinois Chicago</t>
  </si>
  <si>
    <t xml:space="preserve">Assistant or Associate Professor - IDS (Enterprise AI &amp; Systems)</t>
  </si>
  <si>
    <t xml:space="preserve">2026-12-06</t>
  </si>
  <si>
    <t xml:space="preserve">https://academiccareers.com/job/180278/assistant-or-associate-professor-ids-enterprise-ai-systems/</t>
  </si>
  <si>
    <t xml:space="preserve">Department of Information and Decision Sciences (IDS)</t>
  </si>
  <si>
    <t xml:space="preserve">Assistant or Associate Professor (tenure-track or tenured)</t>
  </si>
  <si>
    <t xml:space="preserve">The search confirmed that the posting closes on December 6, 2026 (requisition 1042271). The item file says applications received by October 20, 2026 get fullest consideration (6 days from today), and the posting closes at 5 pm on December 6. The candidate should apply by 10/20 to get priority consideration.</t>
  </si>
  <si>
    <t xml:space="preserve">nothing found. The AcademicCareers listing and the UIC search results do not mention visa or H-1B sponsorship either way. UIC is an R1 public university that regularly hires international tenure-track faculty, but this posting did not state that.</t>
  </si>
  <si>
    <t xml:space="preserve">The search snippets give no industry or professional experience requirement. It is a research tenure-track or tenured line (Assistant/Associate) focused on scholars who study how AI systems are developed, deployed and managed, and their economic, operational and societal implications.</t>
  </si>
  <si>
    <t xml:space="preserve">Not confirmed in the search snippets. Requested materials (from the item file): CV, cover letter, research statement, teaching statement, job market paper, three references. Expect a PhD in IS, OM, CS or a related field by the August 2027 start (the candidate's June 2027 PhD timing fits). Salary is $185K-$250K.</t>
  </si>
  <si>
    <t xml:space="preserve">Under the learned rubric this is a 5: an IS line (Enterprise AI &amp; Systems) in a business-school IDS department. UIC IDS Enterprise AI &amp; Systems is also one of the named 5 examples. The focus on the economic and societal implications of AI deployment matches the candidate's MIS PhD work on IS economics, platform governance and misinformation. It also matches the candidate's ML/LLM and multimodal methods, the candidate's ISR R&amp;R and the MISQ paper under review. On teaching, IDS courses fit the candidate's instructor-of-record work in Connected Systems for Business (cloud, IoT, Azure labs), the candidate's TA work in ML for Business (Python), and the candidate's interest in teaching AI in business, ML and data analytics. Risks: the line is posted at Assistant or Associate, so the candidate should apply at Assistant. The candidate would start August 2027 with the PhD expected June 2027, so ABD timing is tight but compatible. The October 20, 2026 priority date is 6 days away, so the candidate should apply immediately.</t>
  </si>
  <si>
    <t xml:space="preserve">https://uic.csod.com/ux/ats/careersite/1/home/requisition/20479?c=uic&amp;source=Indeed</t>
  </si>
  <si>
    <t xml:space="preserve">This is a strong fit for an MIS PhD studying AI systems. It is research tenure-track, so OPT could cover the start, and UIC typically sponsors H-1B for tenure-track faculty, though the posting does not say so. Priority date is 2026-10-20 and the posting closes 2026-12-06. Sources: https://academiccareers.com/job/180278/assistant-or-associate-professor-ids-enterprise-ai-systems/ ; https://business.uic.edu/academics-research/dept/department-of-information-and-decision-sciences-2</t>
  </si>
  <si>
    <t xml:space="preserve">North Carolina State University</t>
  </si>
  <si>
    <t xml:space="preserve">Lecturer-IT and Analytics</t>
  </si>
  <si>
    <t xml:space="preserve">2026-12-31</t>
  </si>
  <si>
    <t xml:space="preserve">https://jobs.ncsu.edu/postings/223346</t>
  </si>
  <si>
    <t xml:space="preserve">Information Technology, Analytics and Operations (ITAO)</t>
  </si>
  <si>
    <t xml:space="preserve">Poole College of Management</t>
  </si>
  <si>
    <t xml:space="preserve">Lecturer (non-tenure-track)</t>
  </si>
  <si>
    <t xml:space="preserve">Search results for jobs.ncsu.edu/postings/223346 ('Lecturer, IT and Analytics') show a Job Open Date of 02/16/2026 and an Anticipated Close Date of 12/31/2026. It looks like a rolling AY 2026-27 pool that still accepts applications. Because it is a pool, hiring happens as needed and there is no hard review date.</t>
  </si>
  <si>
    <t xml:space="preserve">Not stated (AY 2026-27 pool, presumably Spring 2027 or as needed)</t>
  </si>
  <si>
    <t xml:space="preserve">Nothing found. The search summary says the posting does not mention visa sponsorship, and none of the NC State pages returned address it.</t>
  </si>
  <si>
    <t xml:space="preserve">Industry experience is not listed as required or preferred. The preferred qualifications are a doctorate in a relevant field and college-level teaching experience.</t>
  </si>
  <si>
    <t xml:space="preserve">Minimum: a master's degree (or equivalent) in IT, analytics or statistics, or a master's with an IT concentration. A doctoral degree or equivalent is needed for graduate-level teaching. Excellent teaching ability is also required. Preferred: a doctorate in the field and college teaching experience. Applicants submit a letter, CV and 3 professional references. The salary depends on education and experience.</t>
  </si>
  <si>
    <t xml:space="preserve">IT &amp; Analytics lecturer in Poole's ITAO dept - IS in a business school (5 regardless of lecturer/pool status); matches the candidate's cloud/IoT/Azure instruction and Python/ML TA. Risk: likely an AY 2026-27 pooled, possibly part-time posting in Raleigh while ABD; deadline 2026-12-31.</t>
  </si>
  <si>
    <t xml:space="preserve">https://jobs.ncsu.edu/postings/search?1196%5B%5D=10&amp;1196%5B%5D=4&amp;1196%5B%5D=11&amp;commit=Search&amp;sort=2131+desc&amp;utf8=%E2%9C%93</t>
  </si>
  <si>
    <t xml:space="preserve">This is a non-tenure-track, part-time job at 0.225-0.675 FTE in Raleigh (ITAO, Poole College), so it is not a full-time lecturer line. It is a poor fit for an F-1 candidate who needs sponsorship. Part-time pool jobs rarely get H-1B sponsorship. A low FTE (about 9-27 hrs/week) may also fall short of the 20 hrs/week minimum that post-completion OPT requires. The AY 2026-27 term would also come before the June 2027 PhD, so any work then would need CPT. Treat it as a fallback only. If you do apply, ask ITAO or NC State HR whether they would sponsor and what FTE they expect.</t>
  </si>
  <si>
    <t xml:space="preserve">Assistant Professor, tenure-track, Accounting and Information Systems (posting 26FA0683)</t>
  </si>
  <si>
    <t xml:space="preserve">https://jobs.rutgers.edu/postings/280198</t>
  </si>
  <si>
    <t xml:space="preserve">Posting 26FA0683 opened 09/01/2026 and closes 12/31/2026 (jobs.rutgers.edu/postings/280198). No earlier priority or review date appeared in the results.</t>
  </si>
  <si>
    <t xml:space="preserve">AY 2027-2028</t>
  </si>
  <si>
    <t xml:space="preserve">nothing found. The search summary says no result addressed visa sponsorship, and the snippets of the official jobs.rutgers.edu posting showed no eligibility or work-authorization language.</t>
  </si>
  <si>
    <t xml:space="preserve">The minimum qualification is a Ph.D. or ABD. The duties are research in accounting and information systems, plus teaching and service. No industry or practitioner experience is mentioned.</t>
  </si>
  <si>
    <t xml:space="preserve">Ph.D. or ABD (minimum). 12-credit annual teaching load, with courses on both the Newark and New Brunswick campuses. Start AY 2027-2028. Salary $195,000-$215,000.</t>
  </si>
  <si>
    <t xml:space="preserve">Accounting &amp; Information Systems TT line (rubric: Rutgers AIS = 4); IS researchers fit the dept's IS side and the candidate's ISR R&amp;R/MISQ pipeline counts, but the candidate has no accounting background. Deadline 2026-12-31; AY 2027-28 fits.</t>
  </si>
  <si>
    <t xml:space="preserve">https://jobs.chronicle.com/job/38031656/assistant-professor-tenure-track-accounting-and-information-systems/?TrackID=10</t>
  </si>
  <si>
    <t xml:space="preserve">The department is Accounting and Information Systems, and the research area is 'Accounting, Information Systems', so an MIS candidate fits the IS side. ABD is accepted, which fits a June 2027 PhD. An AY 2027-28 start lines up with post-completion OPT, but nothing says whether Rutgers will sponsor an H-1B. Ask the department or Rutgers HR.</t>
  </si>
  <si>
    <t xml:space="preserve">Clinical Assistant Professor, Quantitative Methods</t>
  </si>
  <si>
    <t xml:space="preserve">2027-01-08</t>
  </si>
  <si>
    <t xml:space="preserve">https://careers.purdue.edu/job/Clinical-Assistant-Professor,-Quantitative-Methods/44130-en_US</t>
  </si>
  <si>
    <t xml:space="preserve">Department of Quantitative Methods</t>
  </si>
  <si>
    <t xml:space="preserve">Review of applications begins 2027-01-08 and continues until the position is filled, per the official careers.purdue.edu posting (req 44130). The start date is Fall 2027.</t>
  </si>
  <si>
    <t xml:space="preserve">The search snippets of req 44130 showed no sponsorship statement, and a targeted search did not surface its full text. Other Purdue clinical and visiting postings (MIS clinical req 41739, an Organization Leadership clinical post, a visiting post) state 'must have the ability to work in the US without immigration sponsorship (such as, but not limited to H-1B, TN, E-3 or O-1)'. That makes a no-sponsorship clause on this posting likely; verify it.</t>
  </si>
  <si>
    <t xml:space="preserve">No years of industry experience are required. The posting asks for evidence of experiential-learning work and familiarity with current AI tools.</t>
  </si>
  <si>
    <t xml:space="preserve">A PhD, or an MA/MS, in Quantitative Methods or a related field, completed before the first day of the Fall 2027 semester. Demonstrated college-level teaching experience is required. Materials: CV, teaching statement, and others. Contacts: Professors Zhiwei Zhu and Yichen Zhang.</t>
  </si>
  <si>
    <t xml:space="preserve">Clinical line teaching data &amp; analytics incl. the Online MS in Business Analytics - BA teaching (4); matches ML for Business (Python) TA, time series and econometrics. Fall 2027 fits.</t>
  </si>
  <si>
    <t xml:space="preserve">https://academiccareers.aisnet.org/jobs/?keywords=Purdue+clinical&amp;location_autocomplete=true&amp;pos_flt=0&amp;radius=320; https://careercenter.informs.org/q-assistant-teaching-professor-jobs.html</t>
  </si>
  <si>
    <t xml:space="preserve">Non-tenure-track clinical role teaching data and analytics. Not urgent, since review starts January 2027. There is a high risk of a no-sponsorship clause like the other Purdue clinical posts, which could at most work for OPT-period employment. Confirm before applying.</t>
  </si>
  <si>
    <t xml:space="preserve">DONE - submitted</t>
  </si>
  <si>
    <t xml:space="preserve">Assistant Professor of Information Systems (2 Open Positions)</t>
  </si>
  <si>
    <t xml:space="preserve">Submitted (eligibility not re-checked)</t>
  </si>
  <si>
    <t xml:space="preserve">Not re-checked (already submitted)</t>
  </si>
  <si>
    <t xml:space="preserve">Not re-checked</t>
  </si>
  <si>
    <t xml:space="preserve">-</t>
  </si>
  <si>
    <t xml:space="preserve">SUBMITTED 2026-08-29 (your tracker: "California State University, Long Beach")</t>
  </si>
  <si>
    <t xml:space="preserve">https://csucareers.calstate.edu/en-us/job/559681/assistant-professor-of-information-systems-2-open-positions</t>
  </si>
  <si>
    <t xml:space="preserve">n/a (already submitted)</t>
  </si>
  <si>
    <t xml:space="preserve">Review of applications began 2026-08-17, a date that has now passed. The position remains open until filled or the recruitment is canceled. Questions go to search chair Dr. Fisher Wu (cba-is-jobs@csulb.edu, 562-985-4993). Apply promptly: review has been under way for about 2 months.</t>
  </si>
  <si>
    <t xml:space="preserve">2027-08-17 (Fall 2027 semester)</t>
  </si>
  <si>
    <t xml:space="preserve">Two tenure-track lines in the business college's IS department, with a possible AI and cybersecurity emphasis. Fit: ML/LLM methods, platform governance and misinformation research, cloud/IoT teaching. Fall 2027 start fits.</t>
  </si>
  <si>
    <t xml:space="preserve">https://csucareers.calstate.edu/mob/cw/en-us/job/559681/assistant-professor-of-information-systems-2-open-positions; https://careers.pageuppeople.com/873/lb/en-us/job/559681/assistant-professor-of-information-systems-2-open-positions; https://jobs.chronicle.com/job/38014134/assistant-professor-of-information-systems-2-open-positions-/; https://careercenter.informs.org/job/assistant-professor-of-information-systems-long-beach-california-5443; https://www.csulb.edu/academic-affairs/faculty-affairs/careers-college-of-business; https://www.careersingovernment.com/job/2032742/assistant-professor-of-information-systems-2-open-positions/</t>
  </si>
  <si>
    <t xml:space="preserve">George Mason University</t>
  </si>
  <si>
    <t xml:space="preserve">Tenure-Track Assistant Professor of Management Information Systems</t>
  </si>
  <si>
    <t xml:space="preserve">SUBMITTED 2026-08-27 (your tracker: "George Mason University")</t>
  </si>
  <si>
    <t xml:space="preserve">https://listings.jobs.gmu.edu/jobs/tenure-track-assistant-professor-of-management-information-systems-fairfax-va-virginia-united-states-other</t>
  </si>
  <si>
    <t xml:space="preserve">Information Systems and Operations Management (ISOM) area</t>
  </si>
  <si>
    <t xml:space="preserve">Donald G. Costello College of Business</t>
  </si>
  <si>
    <t xml:space="preserve">Posted 2026-08-13. Full-consideration date 2026-08-27 has passed, but the posting is marked Open Until Filled: Yes, so applications are still accepted and review is already under way. Apply through jobs.gmu.edu with a cover letter, CV and three references.</t>
  </si>
  <si>
    <t xml:space="preserve">MIS tenure-track line in the Costello ISOM area: exact field and rank match. ISR R&amp;R and MISQ submission; 3-course load suits a research start. Visa sponsorship available. Fall 2027.</t>
  </si>
  <si>
    <t xml:space="preserve">https://www.higheredjobs.com/faculty/details.cfm?JobCode=179528656; https://jobs.chronicle.com/job/38025965/tenure-track-assistant-professor-of-management-information-systems/; https://www.jobs.virginia.gov/jobs/tenure-track-assistant-professor-of-management-information-systems-fairfax-virginia-united-states; https://www.glassdoor.com/Job/us-assistant-professor-of-management-information-systems-mis-tenure-track-jobs-SRCH_IL.0,2_KO3,73.htm</t>
  </si>
  <si>
    <t xml:space="preserve">Hofstra University</t>
  </si>
  <si>
    <t xml:space="preserve">Assistant/Associate Professor of Information Systems &amp; Business Analytics (Emphasis: Cybersecurity Management), Tenure-Track</t>
  </si>
  <si>
    <t xml:space="preserve">SUBMITTED 2026-09-15 (your tracker: "Hofstra University")</t>
  </si>
  <si>
    <t xml:space="preserve">https://hofstra.peopleadmin.com/postings/7620</t>
  </si>
  <si>
    <t xml:space="preserve">Information Systems &amp; Business Analytics</t>
  </si>
  <si>
    <t xml:space="preserve">Frank G. Zarb School of Business</t>
  </si>
  <si>
    <t xml:space="preserve">Assistant or Associate Professor (InsideHigherEd copy lists it as Assistant Professor)</t>
  </si>
  <si>
    <t xml:space="preserve">PeopleAdmin 7620 gives a full-consideration date of 2026-09-15. The InsideHigherEd copy (3517449) gives a full-consideration date of 2026-08-31. Both dates have passed, but the posting stays open until filled. The HERC aggregator listing is valid through 2027-08-02. Apply as soon as possible.</t>
  </si>
  <si>
    <t xml:space="preserve">IS &amp; Business Analytics department line with a cybersecurity-management emphasis. IS lines with a cybersecurity emphasis score 5. Fit: platform governance and misinformation research; cloud/IoT teaching. Advanced ABDs are considered for a non-tenure-track start, which helps with the June 2027 PhD. Fall 2027.</t>
  </si>
  <si>
    <t xml:space="preserve">https://careers.insidehighered.com/job/3517449/assistant-professor-of-information-systems-and-business-analytics/; https://main.hercjobs.org/jobs/22470884/assistant-associate-professor-of-information-systems-business-analytics; https://hofstra.peopleadmin.com/postings/7532</t>
  </si>
  <si>
    <t xml:space="preserve">Iowa State University</t>
  </si>
  <si>
    <t xml:space="preserve">Professor of Information Systems and Business Analytics (ISBA), tenured, with endowed chair (R19605)</t>
  </si>
  <si>
    <t xml:space="preserve">SUBMITTED 2026-09-28 (your tracker: "Iowa State University")</t>
  </si>
  <si>
    <t xml:space="preserve">https://isu.wd1.myworkdayjobs.com/IowaStateJobs/job/Ames-IA/Professor-of-Information-Systems-and-Business-Analytics--ISBA-_R19605</t>
  </si>
  <si>
    <t xml:space="preserve">Information Systems and Business Analytics (ISBA)</t>
  </si>
  <si>
    <t xml:space="preserve">Ivy College of Business</t>
  </si>
  <si>
    <t xml:space="preserve">Full Professor (tenured), with endowed chair</t>
  </si>
  <si>
    <t xml:space="preserve">IA</t>
  </si>
  <si>
    <t xml:space="preserve">Initial review of applications began 2026-09-30, which has passed. Applications continue to be accepted until the position is filled.</t>
  </si>
  <si>
    <t xml:space="preserve">2027-08-16 (a later start date may be considered)</t>
  </si>
  <si>
    <t xml:space="preserve">IS &amp; Business Analytics line in a business school: field directly matches the candidate's MIS PhD (UWM Lubar), ISR R&amp;R / MISQ pipeline and ML/causal-inference methods. Rank risk: tenured Full Professor with endowed chair, a long reach for an ABD; score kept at 5 per IS-in-business-school rule. Aug 2027 start fits.</t>
  </si>
  <si>
    <t xml:space="preserve">https://www.higheredjobs.com/faculty/details.cfm?JobCode=179502770; https://www.ziprecruiter.com/c/Iowa-State-University/Job/Professor-of-Information-Systems-and-Business-Analytics-(ISBA)/-in-Ames,IA?jid=b9fb8dd4dfd190f3</t>
  </si>
  <si>
    <t xml:space="preserve">Assistant Professor of Information Systems and Security</t>
  </si>
  <si>
    <t xml:space="preserve">SUBMITTED 2026-09-28 (your tracker: "Kennesaw State University - Information Systems (300876)")</t>
  </si>
  <si>
    <t xml:space="preserve">https://careers.hprod.onehcm.usg.edu/psc/careers/CAREERS/HRMS/c/HRS_HRAM_FL.HRS_CG_SEARCH_FL.GBL?Page=HRS_APP_JBPST_FL&amp;Action=U&amp;FOCUS=Applicant&amp;SiteId=43000&amp;JobOpeningId=300876&amp;PostingSeq=1</t>
  </si>
  <si>
    <t xml:space="preserve">Priority/initial date 2026-09-30 has passed; applications accepted until filled. 'For full consideration, please apply by September 30, 2026' (AIS Academic Careers listing 85187674). This is a full-consideration (priority) date that has passed. No explicit closure notice was seen, but the search results do not say whether USG opening 300876 still accepts applications.</t>
  </si>
  <si>
    <t xml:space="preserve">August 2027 (from the earlier verifier/judge note; search results did not explicitly tie it to 300876)</t>
  </si>
  <si>
    <t xml:space="preserve">Field-based score of 5: a general tenure-track IS line in a business-school IS department, the candidate's rubric example 'Kennesaw IS &amp; Security'. Matching CV elements: MIS-concentration PhD from UWM Lubar; IS economics and causal-inference/ML/LLM/multimodal methods, which fit a data-analytics IS line; ISR R&amp;R and MISQ under review plus HICSS/AMCIS/ICIS work, strong for an R2; teaching of Intro to Connected Systems for Business (cloud/Azure/IoT) as instructor of record and TA for ML for Business (Python) and Intro to IT Management labs, which map onto core IS courses. Better fit than the cybersecurity line. Risks: ABD with an expected June 2027 PhD, which suits an August 2027 start. The full-consideration date (9/30/2026) has passed, so apply immediately if the portal is live.</t>
  </si>
  <si>
    <t xml:space="preserve">https://academiccareers.aisnet.org/job/assistant-professor-of-information-systems-and-security/85187674/; https://jobs.chronicle.com/job/38016276/assistant-professor-of-information-systems-and-security/</t>
  </si>
  <si>
    <t xml:space="preserve">Assistant Professor, Business Analytics &amp; Information Systems (two 9-month tenure-track positions)</t>
  </si>
  <si>
    <t xml:space="preserve">SUBMITTED 2026-09-30 (your tracker: "Auburn University")</t>
  </si>
  <si>
    <t xml:space="preserve">https://jobs.auburn.edu/auburn-careers-home/jobs/10326?lang=en-us</t>
  </si>
  <si>
    <t xml:space="preserve">No fixed closing date. Applications are accepted until filled. Per the candidate evidence, review began 2026-10-01 and continues until qualified candidates are selected. That start date has passed, so apply now. My search did not re-confirm the 2026-10-01 date for this line, but the sibling BASY lecturer posting from the same cycle shows the same 2026-10-01 review start. Materials: cover letter, CV, one recent publication or working paper, research statement, teaching statement, transcript, three references.</t>
  </si>
  <si>
    <t xml:space="preserve">Two tenure-track lines in Auburn's BA &amp; IS department. The posting accepts an MIS or Management Science doctorate, which exactly matches the UWM Management Science (MIS) PhD. ISR R&amp;R and MISQ submission are strong signals. August 2027 start fits.</t>
  </si>
  <si>
    <t xml:space="preserve">https://business.academickeys.com/seeker_job_display.php?dothis=display&amp;job%5BIDX%5D=280204-280204-rss; https://jobs.chronicle.com/jobs/faculty-positions/auburn/?keywords=business+analytics&amp;sort=Date</t>
  </si>
  <si>
    <t xml:space="preserve">Penn State University Park</t>
  </si>
  <si>
    <t xml:space="preserve">Open-Rank Professor in Business Analytics and Information Systems (tenure-track)</t>
  </si>
  <si>
    <t xml:space="preserve">SUBMITTED 2026-09-30 (your tracker: "Pennsylvania State University")</t>
  </si>
  <si>
    <t xml:space="preserve">https://jobs.phdproject.org/jobs/610084371-open-rank-professor-in-business-analytics-and-information-systems-at-the-pennsylvania-state-university</t>
  </si>
  <si>
    <t xml:space="preserve">Supply Chain &amp; Information Systems (SCIS)</t>
  </si>
  <si>
    <t xml:space="preserve">Smeal College of Business</t>
  </si>
  <si>
    <t xml:space="preserve">Open rank (tenure-track); candidates in the final stages of a PhD are considered for Assistant Professor</t>
  </si>
  <si>
    <t xml:space="preserve">Review of applications began October 1, 2026 and continues until the position is filled. There is no fixed closing date. The review start date has passed, but applications are still being accepted, so the candidate should apply now. Contact: Autumn Hanley/Knepp, adh5253@psu.edu.</t>
  </si>
  <si>
    <t xml:space="preserve">Open-rank Business Analytics &amp; IS line with AI emphasis: direct match to MIS PhD, ML/LLM and multimodal methods, ISR R&amp;R / MISQ submission. Final-stage PhDs considered at Assistant; Fall 2027 fits. Top target.</t>
  </si>
  <si>
    <t xml:space="preserve">https://decisionsciences.org/professional-growth/open-positions/; https://www.ziprecruiter.com/Jobs/Business-Analytics-Professor</t>
  </si>
  <si>
    <t xml:space="preserve">Georgia Institute of Technology</t>
  </si>
  <si>
    <t xml:space="preserve">Open Rank Tenure-Track Faculty Position in Information Technology Management</t>
  </si>
  <si>
    <t xml:space="preserve">SUBMITTED 2026-10-03 (your tracker: "Georgia Institute of Technology")</t>
  </si>
  <si>
    <t xml:space="preserve">https://jobs.chronicle.com/job/38031418/open-rank-tenure-track-faculty-position-in-information-technology-management/</t>
  </si>
  <si>
    <t xml:space="preserve">Information Technology Management (ITM) area</t>
  </si>
  <si>
    <t xml:space="preserve">Scheller College of Business</t>
  </si>
  <si>
    <t xml:space="preserve">Open rank (Assistant/Associate/Full Professor; applications considered at all ranks)</t>
  </si>
  <si>
    <t xml:space="preserve">Full-consideration date of October 4, 2026 has passed. This date and the 'initial screening begins immediately' language come from the candidate evidence; my verification search did not show the date again. The wording reads as a priority date rather than a hard close, and no closure sign was found, so late applications may still be considered. Apply as soon as possible; the ITM contact is itm@scheller.gatech.edu.</t>
  </si>
  <si>
    <t xml:space="preserve">Scheller IT Management line, one of the candidate's own 5-rated examples. IS economics, creator-economy and platform research with ISR and MISQ submissions fits. Open rank includes Assistant; highly competitive. Fall 2027.</t>
  </si>
  <si>
    <t xml:space="preserve">https://jobs.chronicle.com/employer/37325673/ga-tech-scheller-college-of-business; https://www.scheller.gatech.edu/academics-research/current-faculty-opportunities/index.html</t>
  </si>
  <si>
    <t xml:space="preserve">Virginia Tech</t>
  </si>
  <si>
    <t xml:space="preserve">Assistant Professor (Business Information Technology, tenure-track)</t>
  </si>
  <si>
    <t xml:space="preserve">SUBMITTED 2026-10-02 (your tracker: "Virginia Tech")</t>
  </si>
  <si>
    <t xml:space="preserve">https://jobs.apply.vt.edu/jobs/assistant-professor-blacksburg-virginia-united-states-420b915d-90c6-4f93-9894-8a0ba9845f36</t>
  </si>
  <si>
    <t xml:space="preserve">Pamplin College of Business, Department of Business Information Technology (BIT)</t>
  </si>
  <si>
    <t xml:space="preserve">Pamplin College of Business</t>
  </si>
  <si>
    <t xml:space="preserve">Priority/initial date 2026-10-04 has passed; applications accepted until filled. The candidate's export gives a priority review date of 2026-10-04. That date has passed, but priority-date postings usually keep accepting applications until filled. Neither search showed the posting text, so whether it is still open-until-filled is unconfirmed. Apply immediately.</t>
  </si>
  <si>
    <t xml:space="preserve">Not stated in search results (current cycle, presumably August 2027)</t>
  </si>
  <si>
    <t xml:space="preserve">This is an IS line in a business school, which the rubric scores 5. BIT is Virginia Tech's IS/MIS department, and the candidate is finishing a Management Science (MIS) PhD at UWM Lubar. The candidate's research pipeline fits a research tenure-track IS line: an ISR R&amp;R, an MISQ submission under review, and HICSS/ICIS/AMCIS/INFORMS papers on the creator economy, platform governance and misinformation. Past BIT ads preferred analytics, data ethics and cybersecurity management. The candidate's econometrics/causal inference, ML/LLM and multimodal-data methods map well, and the candidate's teaching fits too: instructor of record for Intro to Connected Systems for Business (cloud/IoT/Azure) and TA for ML for Business (Python). Timing risk: the candidate is ABD with the PhD expected June 2027. That should suit an Aug 2027 start, but expect a degree-completion condition. The priority date (2026-10-04) has passed, so apply right away.</t>
  </si>
  <si>
    <t xml:space="preserve">https://www.higheredjobs.com/details.cfm?JobCode=179298347</t>
  </si>
  <si>
    <t xml:space="preserve">University of Minnesota Twin Cities</t>
  </si>
  <si>
    <t xml:space="preserve">Tenure-Track Assistant Professor in Information Systems</t>
  </si>
  <si>
    <t xml:space="preserve">SUBMITTED 2026-10-09 (your tracker: "University of Minnesota")</t>
  </si>
  <si>
    <t xml:space="preserve">https://hr.myu.umn.edu/jobs/ext/375835</t>
  </si>
  <si>
    <t xml:space="preserve">Information &amp; Decision Sciences (IDS)</t>
  </si>
  <si>
    <t xml:space="preserve">Carlson School of Management</t>
  </si>
  <si>
    <t xml:space="preserve">MN</t>
  </si>
  <si>
    <t xml:space="preserve">Review of applications began October 10, 2026, which is 4 days before today. Applications are still accepted until the position is filled. Apply immediately, because the screening is already underway. The doctorate must be completed by August 23, 2027 or before the appointment date, whichever comes first. That is an eligibility condition, not the closing date.</t>
  </si>
  <si>
    <t xml:space="preserve">Not stated explicitly. Implied Fall 2027 (AY 2027-28), since the PhD is required by Aug 23, 2027.</t>
  </si>
  <si>
    <t xml:space="preserve">IS line in a business school (Carlson IDS) = 5. Open IS area, with AI/ML and algorithmic decision-making in the department. Fits the ISR R&amp;R and MISQ submission, the LLM/multimodal methods and IS economics. PhD needed by Aug 2027; June 2027 defense fits. Open until filled.</t>
  </si>
  <si>
    <t xml:space="preserve">https://carlsonschool.umn.edu/departments/information-decision-sciences/faculty; https://jobs.chronicle.com/job/38034775/tenure-track-assistant-professor-in-information-systems/?TrackID=10</t>
  </si>
  <si>
    <t xml:space="preserve">Cal Poly Pomona</t>
  </si>
  <si>
    <t xml:space="preserve">Computer Information Systems, Assistant Professor (Job #558301; tenure-track)</t>
  </si>
  <si>
    <t xml:space="preserve">SUBMITTED 2026-10-09 (your tracker: "California State Polytechnic University, Pomona")</t>
  </si>
  <si>
    <t xml:space="preserve">https://careers.cpp.edu/po/en-us/job/558301/computer-information-systems-assistant-professor</t>
  </si>
  <si>
    <t xml:space="preserve">The posting says 'open until filled' and gives first consideration to completed applications received by 2026-10-11, a date that has passed as of today (2026-10-14). The PageUp/CSU mirror also shows 'Applications close: Oct 11 2026 PDT'. It is unclear whether the portal still accepts applications, so apply immediately via careers.cpp.edu job 558301 or email huishi@cpp.edu to confirm late applications are accepted.</t>
  </si>
  <si>
    <t xml:space="preserve">Fall Semester 2027</t>
  </si>
  <si>
    <t xml:space="preserve">Tenure-track line in the business college's CIS department. The primary area, AI applications for business, plus big data and data mining, matches the ML/LLM and multimodal-data methods, the AI-in-business teaching interest and the Python ML TA role. Fall 2027 start; $132-136K.</t>
  </si>
  <si>
    <t xml:space="preserve">https://csucareers.calstate.edu/en-us/job/558301/computer-information-systems-assistant-professor; https://academiccareers.aisnet.org/job/tenure-track-assistant-professor-in-computer-information-systems/84677575/; https://jobs.chronicle.com/job/37996492/computer-information-systems-assistant-professor/</t>
  </si>
  <si>
    <t xml:space="preserve">University of Florida</t>
  </si>
  <si>
    <t xml:space="preserve">Assistant Professor (Information Systems and Operations Management)</t>
  </si>
  <si>
    <t xml:space="preserve">SUBMITTED 2026-10-11 (your tracker: "University of Florida")</t>
  </si>
  <si>
    <t xml:space="preserve">https://explore.jobs.ufl.edu/en-us/job/540807/ast-prof</t>
  </si>
  <si>
    <t xml:space="preserve">Department of Information Systems and Operations Management (ISOM)</t>
  </si>
  <si>
    <t xml:space="preserve">Warrington College of Business</t>
  </si>
  <si>
    <t xml:space="preserve">The candidate list entry gives a hard deadline of 2026-10-15, one day after today, with no priority-date language. My search did not independently confirm requisition 540807 or this date. For reference, the prior-cycle UF ISOM assistant professor search (posting 533036) closed on November 15, 2024.</t>
  </si>
  <si>
    <t xml:space="preserve">Not stated (requisition 540807 is newer than the 2024 posting 533036, which fits a Fall 2027 start; not verified)</t>
  </si>
  <si>
    <t xml:space="preserve">UF ISOM is a named rubric example of a combined unit where IS is one area, so it scores 4. The candidate is an MIS PhD from UW–Milwaukee Lubar (R1). The candidate's creator-economy, platform-governance and misinformation pipeline (ISR R&amp;R, MISQ under review, HICSS/ICIS/AMCIS) fits ISOM's IS research group well. The candidate's econometrics, causal inference and ML/LLM multimodal methods also overlap with operations and analytics faculty. Teaching fit: as instructor of record for Intro to Connected Systems (cloud/IoT/Azure), and with TA work in ML for Business (Python) and IT Management, the candidate can cover ISOM's undergraduate and MS IS and analytics courses. Risks: (1) the deadline is 2026-10-15, so materials must go in today or tomorrow; (2) with the PhD expected June 2027, the candidate is ABD at application, which is normal for a Fall 2027 start; (3) the posting may be split between IS and OM, and if it targets operations the candidate would be a weaker match. None of these risks changes the field-based score.</t>
  </si>
  <si>
    <t xml:space="preserve">https://connect.informs.org/communities/community-home/digestviewer/viewthread?GroupId=469&amp;MessageKey=a4412d1c-0d88-403c-bee6-4d25fce933a7&amp;CommunityKey=1d5653fa-85c8-46b3-8176-869b140e5e3c&amp;tab=digestviewer; https://lists.aisnet.org/pipermail/aisworld_lists.aisnet.org/20240909/052837.html</t>
  </si>
  <si>
    <t xml:space="preserve">University of Arkansas</t>
  </si>
  <si>
    <t xml:space="preserve">Assistant Professor of Information Systems (tenure-track)</t>
  </si>
  <si>
    <t xml:space="preserve">2026-10-16</t>
  </si>
  <si>
    <t xml:space="preserve">SUBMITTED 2026-10-11 (your tracker: "University of Arkansas")</t>
  </si>
  <si>
    <t xml:space="preserve">https://academiccareers.aisnet.org/jobs/positiontype/professor/</t>
  </si>
  <si>
    <t xml:space="preserve">Sam M. Walton College of Business</t>
  </si>
  <si>
    <t xml:space="preserve">Closing date is October 16, 2026, two days after today, on two aggregator copies (DreamworkHQ and Workopia). Apply through the University of Arkansas System Workday career site; current system employees must apply internally through Workday. URGENT: apply immediately. | Link check: Not stated in this search. Earlier evidence from two mirror sites gave a closing date of October 16, 2026; this search did not re-confirm it.</t>
  </si>
  <si>
    <t xml:space="preserve">Walton College Department of Information Systems, an IS line in a business school, so 5; it is the user's own labeled example. The candidate's ISR R&amp;R, MISQ submission, HICSS/AMCIS/ICIS work and the candidate's cloud/IoT/Azure teaching fit Walton IS. Assistant TT, start 2027-08-16 fits. Urgent: deadline 2026-10-16.</t>
  </si>
  <si>
    <t xml:space="preserve">https://workopia.io/jobs/2121196b27e31b473cbd1b9f9935d410; https://www.dreamworkhq.com/job/9e71aeb8-fad2-4857-bc9a-d48d9ebaf044</t>
  </si>
  <si>
    <t xml:space="preserve">Assistant Professor of Information Systems</t>
  </si>
  <si>
    <t xml:space="preserve">SUBMITTED 2026-10-01 (your tracker: "George Washington University")</t>
  </si>
  <si>
    <t xml:space="preserve">https://jobs.chronicle.com/job/38042926/assistant-professor-of-information-systems/</t>
  </si>
  <si>
    <t xml:space="preserve">Information Systems &amp; Technology Management (ISTM)</t>
  </si>
  <si>
    <t xml:space="preserve">Review of applications begins 2026-10-26 and continues until the position is filled. There is no fixed closing date. Posted on the Chronicle 2026-09-23. The official GWU careers page did not appear in results, so the review date and application steps should be confirmed on gwu.jobs.</t>
  </si>
  <si>
    <t xml:space="preserve">ISTM department IS line within the AI &amp; Analytics cluster. The wanted research on AI, digital innovation, generative AI and responsible AI fits the LLM/ML methods and platform-governance and misinformation work. ISR R&amp;R. Fall 2027.</t>
  </si>
  <si>
    <t xml:space="preserve">https://jobs.chronicle.com/job/38042926/assistant-professor-of-information-systems/?TrackID=10; https://connect.informs.org/communities/community-home/digestviewer/viewthread?GroupId=469&amp;MessageKey=e60c8dc5-9c39-43dc-9059-181be5c54f23&amp;CommunityKey=1d5653fa-85c8-46b3-8176-869b140e5e3c&amp;tab=digestviewer&amp;ReturnUrl=%2Fcommunities%2Fcommunity-home%2Fdigestviewer%3Ftab%3Ddigestviewer&amp;CommunityKey=1d5653fa-85c8-46b3-8176-869b140e5e3c</t>
  </si>
  <si>
    <t xml:space="preserve">Assistant Professor, Tenure-Track, Information Systems and Information Management</t>
  </si>
  <si>
    <t xml:space="preserve">2026-11-01</t>
  </si>
  <si>
    <t xml:space="preserve">SUBMITTED 2026-09-30 (your tracker: "University of Washington")</t>
  </si>
  <si>
    <t xml:space="preserve">https://jobs.chronicle.com/job/38031551/assistant-professor-tenure-track-information-systems-and-information-management/</t>
  </si>
  <si>
    <t xml:space="preserve">Applications priority-reviewed if received by 2026-10-01 (passed); full materials due 2026-11-01. Interfolio only; position open until filled.</t>
  </si>
  <si>
    <t xml:space="preserve">This is an iSchool line explicitly in Information Systems, which the rubric scores 4 (UW iSchool 'IS and Information Management' is a named example). The fit is strong: the candidate's IS research pipeline (ISR R&amp;R and MISQ under review on creator economy, platform governance and monetization) speaks directly to an IS &amp; Organizations line. The candidate's ML/LLM and multimodal methods fit the AI emphasis. The candidate's teaching in IS for business, cloud and ML analytics also matches. Risks: the line stresses the organizational adoption and impact of AI, while the candidate's work is mainly platform/creator-economy economics, so the candidate's job talk should present the LLM and platform-governance work in organizational-AI terms. The PhD is due June 2027, before the Sept 2027 start, so the PhD-by-appointment requirement is met. Apply well before 2026-11-01; the priority date has already passed.</t>
  </si>
  <si>
    <t xml:space="preserve">https://ischool.uw.edu/about/jobs/faculty; https://ischool.uw.edu/about/jobs/faculty/assistant-professor-tenure-track-information-systems-and-information-management</t>
  </si>
  <si>
    <t xml:space="preserve">University of California, Los Angeles</t>
  </si>
  <si>
    <t xml:space="preserve">Announcement of Tenure-Track Faculty Position in Decisions, Operations, and Technology Management (Assistant Professor) (JPF11233)</t>
  </si>
  <si>
    <t xml:space="preserve">SUBMITTED 2026-10-04 (your tracker: "University of California, Los Angeles (UCLA)")</t>
  </si>
  <si>
    <t xml:space="preserve">https://recruit.apo.ucla.edu/JPF11233</t>
  </si>
  <si>
    <t xml:space="preserve">Decisions, Operations, and Technology Management (DOTM)</t>
  </si>
  <si>
    <t xml:space="preserve">UCLA Anderson School of Management</t>
  </si>
  <si>
    <t xml:space="preserve">UCLA Academic RECRUIT shows a next review date of Mon Oct 5, 2026, 11:59pm PT, which was the full-consideration date and has now passed. The final date is Thu Nov 5, 2026, 11:59pm PT. Applications received after the review date are considered only if the position has not been filled. Tenuretracker gives the same Oct 5, 2026 full-consideration date. Candidate notes list salary at $200,000-$230,000 and 3+ letters; my searches did not re-check either.</t>
  </si>
  <si>
    <t xml:space="preserve">AY 2027-28</t>
  </si>
  <si>
    <t xml:space="preserve">Anderson DOTM is a combined unit where IS / technology management is one area, so 4 (the user's own example). The candidate's IS economics, platform and monetization research and the candidate's causal and ML methods fit the DOTM technology-management side. Assistant TT, AY 2027-28. Deadline 2026-11-05.</t>
  </si>
  <si>
    <t xml:space="preserve">https://jbhe.com/jbhejobs/ucla-faculty-dotm-asst-professor/; https://apptracker.jobelephant.com/display.php?ad=9781669; https://www.glassdoor.com/job-listing/announcement-of-tenure-track-faculty-position-in-decisions-operations-and-technology-management-assistant-professor-ucla-JV_IC1146821_KO0,115_KE116,120.htm?jl=1010237693672; https://www.ziprecruiter.com/c/University-of-California/Job/Announcement-of-Tenure-Track-Faculty-Position-in-Decisions,-Operations,-and-Technology-Management-(A/-in-Los-Angeles,CA?jid=47345e8c29cbeb27; https://tenuretracker.info/l/M6E1wlfu/announcement-of-tenure-track-faculty-position-in-decisions-operations-and-techno; https://connect.informs.org/communities/community-home/digestviewer/viewthread?GroupId=469&amp;MessageKey=83de3bb9-5786-4d57-be6d-4c50073f6b8f&amp;CommunityKey=1d5653fa-85c8-46b3-8176-869b140e5e3c&amp;tab=digestviewer</t>
  </si>
  <si>
    <t xml:space="preserve">University of Notre Dame</t>
  </si>
  <si>
    <t xml:space="preserve">Open-Rank Tenure-Track Faculty Position: IT, Analytics, and Operations with a focus on Data, AI, and Computing</t>
  </si>
  <si>
    <t xml:space="preserve">SUBMITTED 2026-09-30 (your tracker: "University of Notre Dame")</t>
  </si>
  <si>
    <t xml:space="preserve">https://apply.interfolio.com/193341</t>
  </si>
  <si>
    <t xml:space="preserve">IT, Analytics, and Operations (ITAO), jointly with the Data, AI, and Computing Initiative</t>
  </si>
  <si>
    <t xml:space="preserve">Mendoza College of Business</t>
  </si>
  <si>
    <t xml:space="preserve">Open rank: Assistant, Associate, or Full Professor (tenure-track or tenured)</t>
  </si>
  <si>
    <t xml:space="preserve">Opened Sep 15, 2026. Deadline Nov 15, 2026, 11:59 PM Eastern (Interfolio). Entry-level candidates need a Ph.D. or ABD in Analytics or a related field, with the degree expected by August 2027.</t>
  </si>
  <si>
    <t xml:space="preserve">AY 2027-28 (entry-level degree expected by August 2027)</t>
  </si>
  <si>
    <t xml:space="preserve">Notre Dame ITAO is named as a 5 in the user's labeled examples. The data/AI/computing focus fits the ML/LLM and multimodal methods, the ISR/MISQ pipeline and the ability to teach in the AI minors. Open rank, degree expected by Aug 2027. Deadline 11/15/2026.</t>
  </si>
  <si>
    <t xml:space="preserve">https://www.higheredjobs.com/faculty/details.cfm?JobCode=179560086; https://jobs.chronicle.com/job/38040051/open-rank-tenure-track-position-focused-on-data-ai-and-computing/?TrackID=10; https://mendoza.nd.edu/research-faculty/faculty-openings/</t>
  </si>
  <si>
    <t xml:space="preserve">Assistant Professor (Tenure-Track), Department of Information Systems</t>
  </si>
  <si>
    <t xml:space="preserve">SUBMITTED 2026-10-08 (your tracker: "Arizona State University")</t>
  </si>
  <si>
    <t xml:space="preserve">https://apply.interfolio.com/191728</t>
  </si>
  <si>
    <t xml:space="preserve">The stated application deadline of 2026-10-09 has passed. INFORMS and Chronicle both say applications are still accepted on a rolling basis for a reserve pool, so it is open but past full consideration. ABD candidates must defend by July 1, 2027. Apply through Interfolio (191728). Contact: Angelina Saric, isrecruiting@asu.edu.</t>
  </si>
  <si>
    <t xml:space="preserve">W. P. Carey Department of Information Systems at assistant rank, an exact field match. Research fit: R&amp;R at ISR, under review at MISQ, creator-economy/IS-economics agenda. Teaching fit: AI in business, business analytics and IS courses match the ML/AI and Python teaching interests. Fall 2027 start fits the June 2027 PhD.</t>
  </si>
  <si>
    <t xml:space="preserve">https://connect.informs.org/blogs/olivia-sheng/2026/09/10/position-opening-assistant-professor-tenure-track; https://jobs.chronicle.com/job/38034966/assistant-professor-department-of-information-systems/?TrackID=10</t>
  </si>
  <si>
    <t xml:space="preserve">Indiana University Bloomington</t>
  </si>
  <si>
    <t xml:space="preserve">Assistant/Associate/Full Professor positions, Kelley School of Business (Operations and Decision Technologies, Information Systems), multiple tenured/tenure-track positions</t>
  </si>
  <si>
    <t xml:space="preserve">SUBMITTED 2026-09-25 (your tracker: "Indiana University")</t>
  </si>
  <si>
    <t xml:space="preserve">https://indiana.peopleadmin.com/postings/33755</t>
  </si>
  <si>
    <t xml:space="preserve">Operations and Decision Technologies (ODT) - Information Systems</t>
  </si>
  <si>
    <t xml:space="preserve">Kelley School of Business</t>
  </si>
  <si>
    <t xml:space="preserve">Open rank (Assistant / Associate / Full); pre-tenure candidates preferred</t>
  </si>
  <si>
    <t xml:space="preserve">The 'For Best Consideration Date' was 09/25/2026 and has passed. The fall-2027 snippets do not include a hard closing date or 'until filled' wording. Earlier Kelley IS tenure-track ads (fall 2024 and fall 2025 cycles) said the search would continue until the positions were filled, so applications are probably still being accepted. Apply immediately.</t>
  </si>
  <si>
    <t xml:space="preserve">2027-08-01 (Fall 2027)</t>
  </si>
  <si>
    <t xml:space="preserve">Kelley ODT Information Systems, multiple open-rank lines with pre-tenure preferred. Exact IS fit: ISR R&amp;R, MISQ submission, IS economics with causal inference. Fall 2027 start fits.</t>
  </si>
  <si>
    <t xml:space="preserve">https://jobs.chronicle.com/job/38012038/assistant-associate-full-professor-positions-kelley-school-of-business-operations-and-decision/; https://jobs.anitab.org/companies/indiana-university-2-acb9900e-1fd4-4a5d-a864-7bac628b2e81/jobs/41266459-assistant-associate-full-professor-positions-kelley-school-of-business-operations-and-decision-technologies-information-systems</t>
  </si>
  <si>
    <t xml:space="preserve">Assistant or Associate Professor - Information Systems</t>
  </si>
  <si>
    <t xml:space="preserve">SUBMITTED 2026-07-13 (your tracker: "Miami University")</t>
  </si>
  <si>
    <t xml:space="preserve">https://miamioh.wd5.myworkdayjobs.com/en-US/miamioh-faculty/job/Assistant-or-Associate-Professor---Information-Systems_JR104290</t>
  </si>
  <si>
    <t xml:space="preserve">Assistant or Associate Professor (tenure-track/tenured)</t>
  </si>
  <si>
    <t xml:space="preserve">Screening date 2026-09-01. The official Workday listing says screening begins in early September 2026 and continues until the position is filled. The priority date has passed but applications are still accepted. Faculty planned to meet candidates at AMCIS. Contact: Dr. Zafer Ozdemir (ozdemir@miamioh.edu).</t>
  </si>
  <si>
    <t xml:space="preserve">Fall 2027 (AY 2027-28)</t>
  </si>
  <si>
    <t xml:space="preserve">IS line in Farmer's Information Systems &amp; Analytics dept: direct match to the candidate's MIS PhD, ISR R&amp;R/MISQ pipeline, and technical/managerial IS teaching (instructor of record Connected Systems for Business, cloud/Azure, Python/ML). Asst or Assoc; Fall 2027 fits; open until filled - apply early.</t>
  </si>
  <si>
    <t xml:space="preserve">https://jobs.chronicle.com/job/37999589/assistant-or-associate-professor-information-systems/; https://careers.insidehighered.com/job/3515220/assistant-or-associate-professor-information-systems/</t>
  </si>
  <si>
    <t xml:space="preserve">Assistant Professor (Management Science &amp; Information Systems), req. 210018</t>
  </si>
  <si>
    <t xml:space="preserve">SUBMITTED 2026-09-15 (your tracker: "Oklahoma State University")</t>
  </si>
  <si>
    <t xml:space="preserve">https://jobs.okstate.edu/jobs/assistant-professor-management-science-information-systems-210018-stillwater-oklahoma-united-states</t>
  </si>
  <si>
    <t xml:space="preserve">Management Science &amp; Information Systems (MSIS)</t>
  </si>
  <si>
    <t xml:space="preserve">No closing date or review date found. Per the search results, screening begins immediately and continues until the position is filled. The posting is contingent on available funding.</t>
  </si>
  <si>
    <t xml:space="preserve">MSIS TT line preferring an MIS PhD and ability to teach large IS / data-science core courses: exact match to the candidate's MIS PhD, ML/data-science methods and IS teaching record; cybersecurity preference is a gap. Fall 2027 fits; funding-contingent.</t>
  </si>
  <si>
    <t xml:space="preserve">https://careers.pageuppeople.com/1216/cw/en-us/job/492818/assistant-professor-management-science-information-systems-210018; https://www.ziprecruiter.com/c/OSU-A&amp;M-System/Job/Assistant-Professor-(Management-Science-&amp;-Information-Systems)-210018/-in-Stillwater,OK?jid=26b7dfb5c39634aa; https://jobs.okstate.edu/jobs/assistant-professor-management-science-information-systems-stillwater-oklahoma-united-states</t>
  </si>
  <si>
    <t xml:space="preserve">San Jose State University</t>
  </si>
  <si>
    <t xml:space="preserve">Assistant Professor, School of Information Systems &amp; Technology</t>
  </si>
  <si>
    <t xml:space="preserve">SUBMITTED 2026-09-30 (your tracker: "San Jose State University")</t>
  </si>
  <si>
    <t xml:space="preserve">https://jobs.sjsu.edu/en-us/job/562131/assistant-professor-school-of-information-systems-technology?1ApplicationSubSourceID=11266</t>
  </si>
  <si>
    <t xml:space="preserve">School of Information Systems &amp; Technology (SISTech)</t>
  </si>
  <si>
    <t xml:space="preserve">Lucas College and Graduate School of Business</t>
  </si>
  <si>
    <t xml:space="preserve">The application deadline was October 1, 2026 (passed). Applications are still accepted until the position is filled or closed. The official jobs.sjsu.edu page shows an open date of September 15, 2026 and no close date. No separate review date was found.</t>
  </si>
  <si>
    <t xml:space="preserve">2027-08-17</t>
  </si>
  <si>
    <t xml:space="preserve">School of Information Systems &amp; Technology TT line - IS in a business school: matches MIS PhD, cloud/IoT/Azure teaching and ML methods. Aug 2027 start fits; open until filled.</t>
  </si>
  <si>
    <t xml:space="preserve">https://careers.insidehighered.com/job/3551687/assistant-professor-school-of-information-systems-and-technology/?TrackID=11</t>
  </si>
  <si>
    <t xml:space="preserve">Assistant Professor (tenure system) in Information Systems</t>
  </si>
  <si>
    <t xml:space="preserve">SUBMITTED 2026-08-29 (your tracker: "Tulane University")</t>
  </si>
  <si>
    <t xml:space="preserve">https://www.higheredjobs.com/faculty/details.cfm?JobCode=179579070</t>
  </si>
  <si>
    <t xml:space="preserve">Management Science area (Information Systems)</t>
  </si>
  <si>
    <t xml:space="preserve">Assistant Professor (tenure system)</t>
  </si>
  <si>
    <t xml:space="preserve">No deadline, review date, start date or posting date appeared in any result. The only text seen is the aggregator snippet saying the Freeman School is seeking applicants for a tenure-system Assistant Professor position in Information Systems. If it is current-cycle, the start is likely July 1, 2027 with review probably rolling, like the parallel OM search (req 1736), but that is unverified.</t>
  </si>
  <si>
    <t xml:space="preserve">Information Systems line in Freeman School of Business, so 5. The candidate's research (creator economy, platform governance, IS economics; ISR R&amp;R, MISQ under review) and teaching (Connected Systems, Python ML, IT Management) are IS-core. Assistant tenure-system. Deadline and start not stated; verify a Fall 2027 start.</t>
  </si>
  <si>
    <t xml:space="preserve">https://connect.informs.org/discussion/tenure-system-assistant-professor-in-management-science-ab-freeman-school-of-business-tulane-university-6; https://www.indeed.com/q-Assistant-Professor-Management-Information-System-jobs.html</t>
  </si>
  <si>
    <t xml:space="preserve">University of Georgia</t>
  </si>
  <si>
    <t xml:space="preserve">Assistant Professor (Management Information Systems), one or more positions (posting F2762P)</t>
  </si>
  <si>
    <t xml:space="preserve">SUBMITTED 2026-09-29 (your tracker: "University of Georgia")</t>
  </si>
  <si>
    <t xml:space="preserve">https://www.ugajobsearch.com/postings/495784</t>
  </si>
  <si>
    <t xml:space="preserve">Terry College of Business</t>
  </si>
  <si>
    <t xml:space="preserve">Official UGA job-site results show no closing date or review-start date for F2762P. Earlier agent snippets described rolling review until the positions are filled. Neither of my official-domain searches showed a closing date or any sign of closure.</t>
  </si>
  <si>
    <t xml:space="preserve">Terry College MIS department, an IS line in a business school, so 5. The candidate's ISR R&amp;R and MISQ submission, the candidate's HICSS/AMCIS/ICIS record and the candidate's cloud, IT Management and Python ML teaching fit a top MIS department. Assistant TT, start 2027-08-01 fits.</t>
  </si>
  <si>
    <t xml:space="preserve">https://www.ugajobsearch.com/postings/496669; https://cto.aom.org/discussion/multiple-job-positions-at-university-of-georgia-terry-college-of-business-department-of-management-information-systems; https://cto.aom.org/discussion/job-opening-the-university-of-georgia-terry-college-of-business-assistant-professordepartment-of-management-information-system; https://connect.informs.org/cai/discussion/assistant-professor-of-information-systems-university-of-georgia</t>
  </si>
  <si>
    <t xml:space="preserve">Open Rank Professor of Management Information Systems (Tenured/Tenure-Track)</t>
  </si>
  <si>
    <t xml:space="preserve">SUBMITTED 2026-07-31 (your tracker: "University of Oklahoma")</t>
  </si>
  <si>
    <t xml:space="preserve">https://jobs.chronicle.com/job/38042306/open-rank-professor-of-management-information-systems/?TrackID=10</t>
  </si>
  <si>
    <t xml:space="preserve">Open rank (Assistant, Associate, or Full Professor)</t>
  </si>
  <si>
    <t xml:space="preserve">The Chronicle listing is dated 2026-09-22. No closing or review date appeared in any result, so assume rolling review and apply now.</t>
  </si>
  <si>
    <t xml:space="preserve">MIS division in a business school = 5 at any rank. General MIS, AI and data-analytics teaching match the ML for Business TA work and AI/analytics teaching interests. Cybersecurity is a gap. Open rank, so the candidate would come in at the junior end. Fall 2027 start.</t>
  </si>
  <si>
    <t xml:space="preserve">https://www.ou.edu/provost/faculty-hiring</t>
  </si>
  <si>
    <t xml:space="preserve">University of Texas at El Paso</t>
  </si>
  <si>
    <t xml:space="preserve">Assistant Professor in Information Systems and Business Analytics (Artificial Intelligence)</t>
  </si>
  <si>
    <t xml:space="preserve">SUBMITTED 2026-09-28 (your tracker: "University of Texas at El Paso")</t>
  </si>
  <si>
    <t xml:space="preserve">https://www.utep.edu/business/about/hunt-insights/articles/2026/08-06-2026-new-faculty-fall-2026.html</t>
  </si>
  <si>
    <t xml:space="preserve">Department of Accounting and Information Systems</t>
  </si>
  <si>
    <t xml:space="preserve">Woody L. Hunt College of Business</t>
  </si>
  <si>
    <t xml:space="preserve">Assistant Professor (tenure-track per earlier snippet; latest Indeed result calls the track 'unclear')</t>
  </si>
  <si>
    <t xml:space="preserve">No closing or review date appears in any result. The Indeed snippet reads 'Posted On: Mon Aug 10...'. Aug 10 fell on a Monday in 2026, not in 2025, so this is consistent with the 2026-08-10 posting date. With no deadline shown, treat it as rolling and apply now: review has probably been under way since late summer or fall 2026.</t>
  </si>
  <si>
    <t xml:space="preserve">Fall 2027 (Indeed snippet: 'expected start date is fall 2027'. That line sits in the page header, so it cannot be firmly tied to this role.)</t>
  </si>
  <si>
    <t xml:space="preserve">IS &amp; Business Analytics (AI) in the Accounting &amp; IS department of a business school = 5. Fits the ML/LLM and multimodal methods, AI-in-business teaching and the ISR/MISQ pipeline. Track and Fall 2027 start are not firmly confirmed.</t>
  </si>
  <si>
    <t xml:space="preserve">https://www.indeed.com/m/jobs?q=University+of+Texas+At+El+Paso+%28utep%29; https://www.indeed.com/q-professor-utep-l-el-paso,-tx-jobs.html; https://www.indeed.com/q-Utep-jobs.html</t>
  </si>
  <si>
    <t xml:space="preserve">University of Tulsa</t>
  </si>
  <si>
    <t xml:space="preserve">Assistant Professor of Business Information Systems (tenure-track)</t>
  </si>
  <si>
    <t xml:space="preserve">SUBMITTED 2026-08-29 (your tracker: "University of Tulsa")</t>
  </si>
  <si>
    <t xml:space="preserve">https://utulsa.edu/departments/accounting-business-information-systems/</t>
  </si>
  <si>
    <t xml:space="preserve">Accounting &amp; Business Information Systems (Business Information Systems area)</t>
  </si>
  <si>
    <t xml:space="preserve">Collins College of Business</t>
  </si>
  <si>
    <t xml:space="preserve">No closing date, review date or 'open until filled' wording appears in the candidate evidence or in my verification search. Neither the official UTulsa HR/careers page nor Interfolio showed up in results. Treat it as rolling, apply early and check the UTulsa careers portal for the official deadline.</t>
  </si>
  <si>
    <t xml:space="preserve">August 2027 (per the job-board copy; unverified)</t>
  </si>
  <si>
    <t xml:space="preserve">Business Information Systems in a business school = 5. IS/IT teaching matches the cloud/IoT/Azure instructor-of-record course and IT Management labs. Cybersecurity is a gap. Details come from a job-board copy, so verify on the official page. Aug 2027 start.</t>
  </si>
  <si>
    <t xml:space="preserve">https://alumni.ebape.fgv.br/pt-br/node/1636</t>
  </si>
  <si>
    <t xml:space="preserve">Assistant Professor of Information Systems (Dual-Mission Tenure-Track)</t>
  </si>
  <si>
    <t xml:space="preserve">SUBMITTED 2026-07-18 (your tracker: "Worcester Polytechnic Institute")</t>
  </si>
  <si>
    <t xml:space="preserve">https://academiccareers.com/job/173340/assistant-professor-of-information-systems/</t>
  </si>
  <si>
    <t xml:space="preserve">No fixed closing date. Applications are reviewed on a rolling basis until the position is filled. Earlier candidate evidence says WPI planned to interview at AMCIS 2026 (Reno, August 2026), so the first interview round has already passed and the search may be well along. Apply immediately. Search chair: Prof. Bengisu Tulu (bengisu@wpi.edu).</t>
  </si>
  <si>
    <t xml:space="preserve">IS tenure-track at WPI Business School = 5. Preferred areas (data and business analytics, ML/AI in organizations) match the ML/LLM methods and the ISR R&amp;R and MISQ pipeline. The dual-mission teaching suits the instructor-of-record and TA record. Aug 2027 start.</t>
  </si>
  <si>
    <t xml:space="preserve">https://business.academickeys.com/seeker_job_display.php?dothis=display&amp;job%5BIDX%5D=275950-275950-rss; https://academiccareers.aisnet.org/job/assistant-professor-of-information-systems/84556477/; https://www.jobleads.com/us/job/assistant-professor-information-systems-analytics-ai--worcester--e80c0d882672f380db19ba9626d938df5; https://www.higheredjobs.com/faculty/details.cfm?JobCode=179456323</t>
  </si>
  <si>
    <t xml:space="preserve">University of Iowa</t>
  </si>
  <si>
    <t xml:space="preserve">Tenured/Tenure-Track Faculty, Department of Business Analytics (Assistant, Associate, or Full Professor), Requisition 76016</t>
  </si>
  <si>
    <t xml:space="preserve">SUBMITTED 2026-09-28 (your tracker: "University of Iowa")</t>
  </si>
  <si>
    <t xml:space="preserve">https://jobs.uiowa.edu/faculty/view/76016</t>
  </si>
  <si>
    <t xml:space="preserve">Business Analytics</t>
  </si>
  <si>
    <t xml:space="preserve">Henry B. Tippie College of Business</t>
  </si>
  <si>
    <t xml:space="preserve">Assistant, Associate, or Full Professor (open rank; rank based on experience and record of achievement)</t>
  </si>
  <si>
    <t xml:space="preserve">Advertising started Friday 2026-08-14; status is 'Extended Until Position is Filled' (no fixed closing date). Per candidate evidence, review of applications begins immediately, so apply early. Required materials: cover letter, CV, teaching interests statement, research statement, sample publications.</t>
  </si>
  <si>
    <t xml:space="preserve">Tippie Business Analytics department, so 4 (the user's own example); it explicitly seeks data science and Informatics/Information Sciences and teaching in BA/IS/data science. The candidate's ML/LLM, multimodal and econometric methods and the candidate's Python ML teaching fit. Open rank, so the candidate would enter at Assistant; Fall 2027.</t>
  </si>
  <si>
    <t xml:space="preserve">https://tippie.uiowa.edu/content/jobs; https://tippie.uiowa.edu/about/business-analytics-department</t>
  </si>
  <si>
    <t xml:space="preserve">University of Tennessee, Knoxville</t>
  </si>
  <si>
    <t xml:space="preserve">Assistant Professor of Business Analytics, AI/ML, Fall 2027</t>
  </si>
  <si>
    <t xml:space="preserve">SUBMITTED 2026-07-31 (your tracker: "University of Tennessee, Knoxville")</t>
  </si>
  <si>
    <t xml:space="preserve">https://apply.interfolio.com/187644</t>
  </si>
  <si>
    <t xml:space="preserve">Business Analytics and Statistics</t>
  </si>
  <si>
    <t xml:space="preserve">Haslam College of Business</t>
  </si>
  <si>
    <t xml:space="preserve">TN</t>
  </si>
  <si>
    <t xml:space="preserve">Review began 2026-06-25 and continues until the position is filled. Applications received before 2026-07-31 got full consideration, and that date has passed. One listing also gives an 'applications close' date of 2026-08-07, which conflicts with 'until filled' and suggests the posting may be closed. The Chronicle copy was still listed in October 2026. Confirm the status on Interfolio 187644 or with BAS@utk.edu (865-974-9311) before applying.</t>
  </si>
  <si>
    <t xml:space="preserve">2027-08-01 (or when filled)</t>
  </si>
  <si>
    <t xml:space="preserve">Business-school business analytics line with applied AI/ML that explicitly accepts IS PhDs = 4. Fits the ML/LLM and multimodal-data methods, causal inference and ML for Business TA work. Aug 2027 start fits. Open until filled.</t>
  </si>
  <si>
    <t xml:space="preserve">https://jobs.chronicle.com/job/37998101/assistant-professor-of-business-analytics-ai-ml-fall-2027/; https://www.academicjobs.com/university-jobs/assistant-professor-of-business-analytics-ai-ml-fall-2027-knoxville-tennessee/700350; https://careercenter.informs.org/jobs</t>
  </si>
  <si>
    <t xml:space="preserve">NOT ELIGIBLE - skip</t>
  </si>
  <si>
    <t xml:space="preserve">Adjunct Instructor, Information Systems - School of Business (pool)</t>
  </si>
  <si>
    <t xml:space="preserve">2026-12-20</t>
  </si>
  <si>
    <t xml:space="preserve">NO - industry experience required</t>
  </si>
  <si>
    <t xml:space="preserve">Required</t>
  </si>
  <si>
    <t xml:space="preserve">https://www.jobs.virginia.gov/jobs/adjunct-instructor-information-systems-school-of-business-vcu-main-campus-virginia-united-states</t>
  </si>
  <si>
    <t xml:space="preserve">Adjunct instructor</t>
  </si>
  <si>
    <t xml:space="preserve">jobs.virginia.gov pool listing posted Feb 2, 2026 and open through Dec 20, 2026. This is an ongoing as-needed pool: applicants are contacted when openings come up. A HigherEdJobs copy of the same pool is dated Oct 3, 2025.</t>
  </si>
  <si>
    <t xml:space="preserve">Not stated (as needed, AY 2026-27)</t>
  </si>
  <si>
    <t xml:space="preserve">nothing found: the search results show no sponsorship or work-authorization language</t>
  </si>
  <si>
    <t xml:space="preserve">- PART-TIME: OPT needs &gt;= 20 hrs/week of qualifying work; STEM OPT needs &gt;= 20 hrs/week with ONE E-Verify employer, so an adjunct course load alone may not satisfy OPT.</t>
  </si>
  <si>
    <t xml:space="preserve">The current jobs.virginia.gov minimum qualifications ask for '3-5 years of work experience in information systems or IT related field'. Preferred items include presenting at professional events and holding board or leadership roles in professional associations. An older or alternate HigherEdJobs version lists an MS or PhD in IS or a related field and prior teaching experience as the minimums instead.</t>
  </si>
  <si>
    <t xml:space="preserve">Strong oral presentation skills. MS or PhD in IS or a related field (minimum in the HigherEdJobs version, preferred in the 2023-24 version). Prior teaching experience. Paid per course at $4,740-$8,650.</t>
  </si>
  <si>
    <t xml:space="preserve">IS adjunct pool in a business school = 5, the same pattern as the Colorado State CIS pool. IS course teaching matches the IT Management labs and the cloud/IoT instructor-of-record course. Part-time per course ($4,740-$8,650). Deadline 12/20/2026.</t>
  </si>
  <si>
    <t xml:space="preserve">https://www.higheredjobs.com/faculty/details.cfm?JobCode=179260513</t>
  </si>
  <si>
    <t xml:space="preserve">Not a fit. It is a part-time adjunct pool that requires 3-5 years of IS/IT work experience, which the candidate does not have. Part-time per-course adjunct work is also generally unsuitable for an H-1B and is a weak basis for OPT employment. Low priority.</t>
  </si>
  <si>
    <t xml:space="preserve">Ohio University</t>
  </si>
  <si>
    <t xml:space="preserve">Instructor (part-time) College of Business AIS Academic year 2026-2027 (POOL)</t>
  </si>
  <si>
    <t xml:space="preserve">2027-04-14</t>
  </si>
  <si>
    <t xml:space="preserve">https://www.ohiouniversityjobs.com/postings/56719</t>
  </si>
  <si>
    <t xml:space="preserve">Analytics &amp; Information Systems (AIS)</t>
  </si>
  <si>
    <t xml:space="preserve">Instructor (part-time, non-tenure track)</t>
  </si>
  <si>
    <t xml:space="preserve">Official posting ohiouniversityjobs.com/postings/56719: Job Open Date 05/18/2026; Posting Close Date 4/14/2027. It is a pool that takes applications on an ongoing basis. Part-time instructor roles are filled as needed for summer 2026 and AY 2026-2027, depending on enrollment.</t>
  </si>
  <si>
    <t xml:space="preserve">Summer 2026 and AY 2026-2027 (as needed)</t>
  </si>
  <si>
    <t xml:space="preserve">The AIS pool posting (56719) says nothing about visa sponsorship or work authorization. A different Ohio University part-time pool (Mathematics) lists 'Authorization to work in the United States' as a minimum qualification, so the AIS pool may follow the same practice. That is not confirmed for this posting.</t>
  </si>
  <si>
    <t xml:space="preserve">Minimum qualifications: 'Master's degree by start date in a field closely related to teaching responsibilities and a minimum of 5 years of professional experience relevant to assigned teaching responsibilities.' A bachelor's or other master's degree combined with experience in the program's field may also be considered, under OU policy 18.001. The candidate has no industry experience, so this minimum is not met.</t>
  </si>
  <si>
    <t xml:space="preserve">Master's degree by start date in a field closely related to the teaching; at least 5 years of relevant professional experience. Preferred qualifications are blank. Contact: Julianne Howard (howardj8@ohio.edu).</t>
  </si>
  <si>
    <t xml:space="preserve">Part-time instructor pool in Analytics &amp; Information Systems in a business school - IS adjunct pool (5 per rule); matches IS/IT teaching (Connected Systems for Business, IT Mgmt labs, Python/ML). Risk: per-course, as-needed, in Athens OH while ABD; deadline 2027-04-14.</t>
  </si>
  <si>
    <t xml:space="preserve">Poor fit. This is a part-time, per-course adjunct pool with no guarantee of positions, and it requires 5+ years of professional experience, which the candidate lacks. A part-time adjunct role is also unlikely to lead to H-1B sponsorship. OPT can cover part-time work in the field, but 5 years of experience is the minimum. Not a priority for the 10/18 submission list.</t>
  </si>
  <si>
    <t xml:space="preserve">University of California, Berkeley</t>
  </si>
  <si>
    <t xml:space="preserve">Lecturer - Operations and Information Technology Management - Haas School of Business (JPF05340), applicant pool</t>
  </si>
  <si>
    <t xml:space="preserve">2027-05-01</t>
  </si>
  <si>
    <t xml:space="preserve">https://aprecruit.berkeley.edu/JPF05340</t>
  </si>
  <si>
    <t xml:space="preserve">Operations and Information Technology Management (OITM) group</t>
  </si>
  <si>
    <t xml:space="preserve">Haas School of Business</t>
  </si>
  <si>
    <t xml:space="preserve">Lecturer (temporary, non-senate)</t>
  </si>
  <si>
    <t xml:space="preserve">Applicant pool JPF05340 opened May 1, 2026. The most recent review date was May 15, 2026 and has passed. Final date is May 1, 2027 at 11:59pm PT. Applications are reviewed as needs arise. An older HigherEdJobs copy marked 'deleted 5/01/2026' belongs to the previous cycle. AP Recruit is the authoritative source.</t>
  </si>
  <si>
    <t xml:space="preserve">AY 2026-27, as needed</t>
  </si>
  <si>
    <t xml:space="preserve">AP Recruit JPF05340 (search summary): 'Applicants must be authorized to work in the United States at the time of hire. Visa sponsorship is not available for this position.'</t>
  </si>
  <si>
    <t xml:space="preserve">Basic qualification: at least 2 years of experience in professional practice in the Operations and Information Technology Management field, at a business, government or not-for-profit organization, by the start date.</t>
  </si>
  <si>
    <t xml:space="preserve">This is a pool of temporary non-senate lecturers. Appointments are one semester to one year and up to about 33% time, made only if an opening arises. Teaching experience or an advanced degree is preferred. Listed salary range is $70,977-$199,722 (prorated).</t>
  </si>
  <si>
    <t xml:space="preserve">Haas Operations &amp; IT Management lecturer pool, a combined IS-inclusive unit like SMU's IT &amp; Operations Management, so 4; the part-time pool does not lower the score. The candidate's IT Management lab, cloud/IoT and Python ML teaching fit OITM's IT and analytics courses. Risks: up to 33% time, per-semester, in person in Berkeley, and the pool does not guarantee an opening.</t>
  </si>
  <si>
    <t xml:space="preserve">Not a fit for this candidate. The posting requires 2 years of industry or professional practice, which the candidate does not have. It also says visa sponsorship is not available. The candidate could in theory work on OPT at hire, but the part-time, temporary pool role and the industry requirement still rule it out. The search found no 2027 OITM tenure-track posting on AP Recruit.</t>
  </si>
  <si>
    <t xml:space="preserve">California State University, Sacramento</t>
  </si>
  <si>
    <t xml:space="preserve">2026-27 AY Lecturer Pool - Management, Information Systems &amp; Business Analytics</t>
  </si>
  <si>
    <t xml:space="preserve">https://careers.pageuppeople.com/873/sa/en-us/job/553828/202627-ay-lecturer-pool-management-information-systems-business-analytics</t>
  </si>
  <si>
    <t xml:space="preserve">Management, Information Systems and Business Analytics</t>
  </si>
  <si>
    <t xml:space="preserve">Lecturer (temporary, part-time pool)</t>
  </si>
  <si>
    <t xml:space="preserve">Priority review date was February 2, 2026 (passed). Later applications are held for consideration as needed. No final closing date shown. The pool covers AY 2026-27 (Fall 2026 and Spring 2027), and the 2025-26 pool stayed valid through June 2026, so this one is probably accepting applications through about June 2027.</t>
  </si>
  <si>
    <t xml:space="preserve">AY 2026-27 (Fall 2026 / Spring 2027, as needed)</t>
  </si>
  <si>
    <t xml:space="preserve">nothing found. Neither the official PageUp posting (job 553828) nor the careersingovernment.com copy mentions visa sponsorship either way.</t>
  </si>
  <si>
    <t xml:space="preserve">The 2026-27 posting's Required Qualifications include 'Five years related work experience', alongside 'MBA or equivalent, or JD for law related courses' and 'Degree received from an AACSB accredited institution'. The 2025-26 version asked only for an MBA, preferably from an AACSB-accredited program.</t>
  </si>
  <si>
    <t xml:space="preserve">MBA or equivalent (JD for law-related courses). Degree from an AACSB-accredited institution. Five years of related work experience. Part-time, temporary teaching of Management Communications, Business Analytics/Statistics and MIS courses in the BS/BA and MBA programs. Appointments depend on enrollment and budget and are usually one semester at a time (sometimes a full academic year).</t>
  </si>
  <si>
    <t xml:space="preserve">Part-time pool in the Management, IS &amp; Business Analytics department. IS adjunct pools score 5. MIS and business analytics teaching matches the instructor-of-record and ML for Business TA experience. As-needed appointments.</t>
  </si>
  <si>
    <t xml:space="preserve">https://www.careersingovernment.com/job/817422/2026-27-ay-lecturer-pool-management/; https://www.ziprecruiter.com/Jobs/Business-Analytics-Lecturer; https://www.csus.edu/college/business-administration/information-systems-business-analytics/</t>
  </si>
  <si>
    <t xml:space="preserve">This is a poor fit. It is a part-time, temporary lecturer pool, not a full-time or tenure-track job. It requires five years of related work experience, which the candidate does not have. Part-time pool lecturers are generally not offered H-1B sponsorship, though the posting says nothing about visas. The pool runs through AY 2026-27 (ending around June 2027), so it overlaps very little with the candidate's post-completion OPT, which starts after the June 2027 PhD. Post-completion OPT also requires at least 20 hours of work per week. Sources: https://careers.pageuppeople.com/873/sa/en-us/job/553828/202627-ay-lecturer-pool-management-information-systems-business-analytics ; https://www.careersingovernment.com/job/817422/2026-27-ay-lecturer-pool-management/</t>
  </si>
  <si>
    <t xml:space="preserve">Professor of Practice, Computer Information Systems (AI and FinTech initiative), non-tenure track</t>
  </si>
  <si>
    <t xml:space="preserve">NO (likely) - Professor of Practice role; industry experience presumed (posting text not retrievable, may be stale)</t>
  </si>
  <si>
    <t xml:space="preserve">https://tallo.com/talent/job/education/economics-professor/ga/atlanta/professor-of-practice-0238a939</t>
  </si>
  <si>
    <t xml:space="preserve">Department of Computer Information Systems</t>
  </si>
  <si>
    <t xml:space="preserve">J. Mack Robinson College of Business</t>
  </si>
  <si>
    <t xml:space="preserve">Professor of Practice (non-tenure track)</t>
  </si>
  <si>
    <t xml:space="preserve">No deadline was found. The only listing is a Tallo aggregator page about 204 days old as of 2026-10-14 (posted around late March 2026). The targeted search did not find it on the GSU faculty portal, so it may have closed or been filled.</t>
  </si>
  <si>
    <t xml:space="preserve">nothing found. The search returned no official posting text, only Robinson faculty and directory pages and news.</t>
  </si>
  <si>
    <t xml:space="preserve">The posting text was not retrieved, so this was not quoted from it. The role is a Professor of Practice (practitioner title) tied to GSU's AI and FinTech initiative in financial services, and such roles normally require substantial industry or professional experience. The search found no stated qualifications. The CIS department's current Professor of Practice is William Dicker.</t>
  </si>
  <si>
    <t xml:space="preserve">Not found. The likely requirements are significant practitioner experience in AI or FinTech or financial services, plus an advanced degree.</t>
  </si>
  <si>
    <t xml:space="preserve">The field is a full match: an IS/CIS line in a business school, and GSU Robinson CIS is a top IS department. Under the learned rule, an IS line in a business school scores 5 at any rank or track. CV fit: the candidate was instructor of record for Intro to Connected Systems for Business (cloud, IoT, Azure labs), was a TA for Machine Learning for Business (Python), and lists AI in business, ML &amp; data analytics, and Python for business among teaching interests. The ML/LLM methods work and the IS economics and monetization research (subscriptions, sponsorships) connect loosely to the AI/FinTech emphasis. Risks: Professor of Practice roles usually expect substantial industry experience, and the candidate has none. The FinTech/financial-services focus is outside the candidate's creator-economy and platform-governance research. The candidate is ABD until June 2027. The posting appears to date from about March 2026, so it may be a prior-cycle search for a Fall 2026 start. These risks do not lower the field-based score.</t>
  </si>
  <si>
    <t xml:space="preserve">https://facultycareers.gsu.edu/postings/search; https://robinson.gsu.edu/academic-departments/computer-information-systems/meet-our-faculty/</t>
  </si>
  <si>
    <t xml:space="preserve">This is a poor fit: it is a practitioner role, the candidate has no industry experience, the posting may be stale and closed, and sponsorship is not stated. It is not on the official GSU portal in the search results. Only pursue it if a current posting appears on facultycareers.gsu.edu.</t>
  </si>
  <si>
    <t xml:space="preserve">Open-Rank Clinical Faculty (non-tenure-track), Information Systems</t>
  </si>
  <si>
    <t xml:space="preserve">NO (likely) - posting says candidates "should have professional experience" (clinical / practitioner line)</t>
  </si>
  <si>
    <t xml:space="preserve">Not this posting - you applied to Indiana University Bloomington on 2026-09-25 for another line; confirm if you also want this one</t>
  </si>
  <si>
    <t xml:space="preserve">https://indiana.peopleadmin.com/postings/34575</t>
  </si>
  <si>
    <t xml:space="preserve">Open rank Clinical (Clinical Assistant / Associate / Full Professor)</t>
  </si>
  <si>
    <t xml:space="preserve">The search did not show a closing date for the Fall 2027 posting (indiana.peopleadmin.com/postings/34575, IU-101640-2026). An earlier sweep reported a best-consideration date of 2026-09-20, which has passed; this search did not reconfirm it. Nothing shows the posting as closed and it is still indexed. A previous cycle (Fall 2025) said review would continue until the positions were filled, so later applications are probably still read. Confirm with odt@iu.edu.</t>
  </si>
  <si>
    <t xml:space="preserve">Nothing found. The posting summary covers rank, degree, professional experience and teaching, but says nothing about visa or H-1B sponsorship or work authorization. Check IU Academic Careers or ask odt@iu.edu.</t>
  </si>
  <si>
    <t xml:space="preserve">Posting text: 'Candidates should have professional experience, and ideally, experience teaching at the undergraduate and graduate levels.' The professional (practitioner) experience is listed as expected for the clinical rank, not as optional. This is a weak point for a candidate with no industry experience.</t>
  </si>
  <si>
    <t xml:space="preserve">A PhD, DBA, or ABD in information systems, computer science, information technology or a closely related field. The degree must be completed by August 2027 (start date 2027-08-01). Teaching experience at the undergraduate and graduate levels is preferred. Rank is open (Clinical Assistant, Associate or Full).</t>
  </si>
  <si>
    <t xml:space="preserve">Kelley open-rank clinical IS, one of the candidate's own 5-rated examples. Fit: instructor of record for Connected Systems (cloud/IoT/Azure), TA for ML for Business (Python) and the IT Management labs. Clinical lines often prefer experienced teachers, which is a modest risk. Fall 2027.</t>
  </si>
  <si>
    <t xml:space="preserve">Kelley School of Business, ODT department, IS area. This is an open-rank, non-tenure-track clinical role. The June 2027 PhD meets the August 2027 completion requirement. OPT could cover the first year, but the posting says nothing about sponsorship, so H-1B support needs confirming. The expected professional experience makes this a weaker fit for this candidate.</t>
  </si>
  <si>
    <t xml:space="preserve">Adjunct Professor, Management Information Systems</t>
  </si>
  <si>
    <t xml:space="preserve">https://www.higheredjobs.com/faculty/details.cfm?JobCode=179294558</t>
  </si>
  <si>
    <t xml:space="preserve">Department of Marketing and Business Information Systems</t>
  </si>
  <si>
    <t xml:space="preserve">Rolling adjunct pool with no closing date in either search. An earlier note says the HigherEdJobs listing is valid through 2027-05-05, which would make it an AY 2026-27 pool, but these searches did not confirm that date.</t>
  </si>
  <si>
    <t xml:space="preserve">Not stated (ongoing adjunct pool, AY 2026-27)</t>
  </si>
  <si>
    <t xml:space="preserve">The 2026-10-14 search summary says a Rowan adjunct listing in the Marketing &amp; Business Information Systems department states that 'the university will not sponsor an applicant for a work visa for this position'. That is a summary of the search results; I did not see the posting text myself, so verify it on the HigherEdJobs or jobs.rowan.edu listing.</t>
  </si>
  <si>
    <t xml:space="preserve">Earlier candidate evidence lists a master's degree plus at least 5 years of relevant professional experience. The candidate has no industry experience, so this is a likely disqualifier. The 2026-10-14 searches did not re-check it.</t>
  </si>
  <si>
    <t xml:space="preserve">Master's degree or higher; at least 5 years of relevant professional experience (per earlier evidence); teaches per course (Database, Data Analytics, E-Business) in person in Glassboro, NJ.</t>
  </si>
  <si>
    <t xml:space="preserve">Part-time MIS adjunct pool (Database, Data Analytics, E-Business) - IS adjunct pool (5); matches IS/analytics teaching and e-business/platform research. Risk: per-course in-person Glassboro NJ while ABD.</t>
  </si>
  <si>
    <t xml:space="preserve">https://jobs.rowan.edu/; https://jobs.chronicle.com/employer/e5b163db-1843-4158-bbaa-8c81648a6284/rowan-university/hub/jobs</t>
  </si>
  <si>
    <t xml:space="preserve">Poor fit: it is part-time and per-course, it says no visa sponsorship, and it needs 5+ years of professional experience the candidate lacks. Post-completion OPT starts only after the June 2027 PhD, which is after the pool's reported end date of 2027-05-05. Recommend excluding.</t>
  </si>
  <si>
    <t xml:space="preserve">University of Texas Rio Grande Valley</t>
  </si>
  <si>
    <t xml:space="preserve">Part Time Lecturer in the Robert C. Vackar College of Business and Entrepreneurship/Information Systems (PTFRGV1009)</t>
  </si>
  <si>
    <t xml:space="preserve">https://careers.utrgv.edu/postings/50193</t>
  </si>
  <si>
    <t xml:space="preserve">Robert C. Vackar College of Business and Entrepreneurship</t>
  </si>
  <si>
    <t xml:space="preserve">The careers.utrgv.edu posting 50193 (PTFRGV1009) shows no closing date in the search results. It is an AY 2026-27 part-time lecturer pool with a desired start of 09/01/2026 and a varying number of vacancies, so it is probably still accepting applications on a rolling basis. The search did not confirm whether it is currently open.</t>
  </si>
  <si>
    <t xml:space="preserve">Fall 2026 (desired start 09/01/2026); AY 2026-27 rolling pool</t>
  </si>
  <si>
    <t xml:space="preserve">Nothing found. The search summary of careers.utrgv.edu/postings/50193 says nothing about visa sponsorship or work authorization.</t>
  </si>
  <si>
    <t xml:space="preserve">The minimum qualifications require at least three years of professional experience. The candidate has no industry experience, so they do not meet this minimum.</t>
  </si>
  <si>
    <t xml:space="preserve">Requires a master's degree with at least 18 graduate credit hours in computer information systems, quantitative methods (business statistics and analytics), or a closely related field, from an accredited institution. Teaching experience and the ability to teach online or use technology in teaching are preferred, not required. Pay is per course, commensurate with experience and qualifications. Non-tenure-track, part-time.</t>
  </si>
  <si>
    <t xml:space="preserve">This is an IS department in an AACSB business school, so under the learned rubric it scores 5 whatever the rank or part-time status; it is comparable to the UT Dallas part-time JSOM IS lecturer and Colorado State CIS adjunct pool examples. The candidate is a Management Science (MIS) PhD candidate at UWM Lubar who has been instructor of record for Intro to Connected Systems for Business (cloud, IoT, Azure labs) and TA for ML for Business (Python) and Intro to IT Management labs (~100 students). That background covers the CIS and quantitative/analytics coursework this pool staffs, and it meets the 18-graduate-hour requirement and the preferred teaching experience. Risks: this is a part-time, per-course adjunct role, not a career line, and it is geographically remote from Milwaukee unless taught online. The pool is for AY 2026-27, while the candidate will be ABD until June 2027. The minimum qualifications also ask for 3 years of professional experience, and the candidate has no industry experience; only teaching or RA work might be counted toward it. These are timing and eligibility risks only and do not lower the field-based score.</t>
  </si>
  <si>
    <t xml:space="preserve">https://careers.utrgv.edu/postings/search?commit=Search&amp;query_organizational_tier_3_id=any&amp;query_position_type_id=3&amp;sort=225+asc&amp;utf8=%E2%9C%93</t>
  </si>
  <si>
    <t xml:space="preserve">Not a good fit. (1) It is a part-time, per-course adjunct pool with three years of professional experience as a minimum requirement, which the candidate lacks. (2) The desired start is Fall 2026, but the candidate's PhD is expected June 2027, so post-completion OPT could not cover this term. Working during the PhD would need CPT or on-campus F-1 rules, and this is an off-campus employer. (3) Part-time per-course roles rarely lead to H-1B sponsorship. Post-completion OPT also needs at least 20 hours a week of related work to avoid counting as unemployment. Recommend excluding it from the apply list.</t>
  </si>
  <si>
    <t xml:space="preserve">CLOSED / filled - skip</t>
  </si>
  <si>
    <t xml:space="preserve">Renewable Contract Instructor in Management Information Systems (req. 529062)</t>
  </si>
  <si>
    <t xml:space="preserve">2026-08-01</t>
  </si>
  <si>
    <t xml:space="preserve">https://careers.ua.edu/jobs/renewable-contract-instructor-in-applied-statistics-527547-tuscaloosa-alabama-united-states</t>
  </si>
  <si>
    <t xml:space="preserve">no</t>
  </si>
  <si>
    <t xml:space="preserve">Information Systems, Statistics &amp; Management Science (ISM)</t>
  </si>
  <si>
    <t xml:space="preserve">Instructor (renewable contract, non-tenure-track)</t>
  </si>
  <si>
    <t xml:space="preserve">The search found the 529062 posting on HERC and PageUp under the title 'Culverhouse - Renewable Contract Instructor in Management Information Science - 529062', posted 16-Apr-2026. The search summary reported that one listing closes 1 Aug 2026 and that the role starts August 16, 2026. Both dates have passed as of 2026-10-14, so the posting is probably closed or filled for the 2026-27 year. One caveat: the snippets may have mixed the close and start dates with those of the sister postings 527737 and 527547. Check careers.ua.edu before ruling it out.</t>
  </si>
  <si>
    <t xml:space="preserve">nothing found. The results do not address visa or work-authorization sponsorship.</t>
  </si>
  <si>
    <t xml:space="preserve">The duties seen are teaching at least 24 credit hours a year, scholarly work to stay qualified under AACSB standards, and service to the department, college, and university. The qualifications section was not in the results, and no industry requirement was seen.</t>
  </si>
  <si>
    <t xml:space="preserve">The role is a full-time renewable-contract instructor with a heavy teaching load of 24 or more credit hours a year (about 4/4), plus scholarly activity to keep AACSB qualification. The degree requirement was not seen.</t>
  </si>
  <si>
    <t xml:space="preserve">Score 5: an MIS line in a business-school IS department (Culverhouse ISM), which the candidate's rule scores 5 at any track. The CV fits a teaching-heavy MIS instructor role directly. The candidate was instructor of record for Intro to Connected Systems for Business (cloud, IoT, Azure labs), TA for Machine Learning for Business (Python), and ran Intro to IT Management labs (~100 students). Teaching interests (IS for business, Python for business, cloud, ML/data analytics, social media analytics) match core MIS undergraduate courses. Research pipeline (ISR R&amp;R, MISQ under review, HICSS/AMCIS/ICIS) is more than this track needs. Risks: (1) start date unknown; a start of Jan 2027 or earlier would come before the PhD (June 2027), though instructor roles often accept a master's or ABD; (2) the 24 credit hours/year (about a 4/4 load) leaves little time for research; (3) current-cycle status and deadline are unconfirmed.</t>
  </si>
  <si>
    <t xml:space="preserve">https://culverhouse.ua.edu/ism/; https://careers.ua.edu/jobs/search/culverhouse-college-of-business</t>
  </si>
  <si>
    <t xml:space="preserve">The actual title is 'Renewable Contract Instructor in Management Information Science' (req. 529062), posted April 2026, apparently for an Aug 2026 start. It is likely closed and mistimed for a candidate finishing the PhD in June 2027. It is non-tenure-track, and sponsorship is not stated.</t>
  </si>
  <si>
    <t xml:space="preserve">University (your tracker)</t>
  </si>
  <si>
    <t xml:space="preserve">Submitted</t>
  </si>
  <si>
    <t xml:space="preserve">In R1/R2 list?</t>
  </si>
  <si>
    <t xml:space="preserve">Matched R1/R2 name</t>
  </si>
  <si>
    <t xml:space="preserve">Fit 4-5 postings at this school (from my search)</t>
  </si>
  <si>
    <t xml:space="preserve">Which one you submitted (my best match)</t>
  </si>
  <si>
    <t xml:space="preserve">Yes</t>
  </si>
  <si>
    <t xml:space="preserve">[Research tenure-track] Assistant or Associate Professor - Information Systems
[Research tenure-track] Assistant Professor of Information Systems (Cybersecurity Focus)</t>
  </si>
  <si>
    <t xml:space="preserve">[Research tenure-track] Assistant Professor of Information Systems (Dual-Mission Tenure-Track)
[Research tenure-track] Assistant Professor of Information Systems/Block Chain</t>
  </si>
  <si>
    <t xml:space="preserve">Baruch College, City University of New York</t>
  </si>
  <si>
    <t xml:space="preserve">No open fit 4-5 posting in my search (your line may have scored lower or closed)</t>
  </si>
  <si>
    <t xml:space="preserve">Nicholls State University</t>
  </si>
  <si>
    <t xml:space="preserve">Washington and Lee University</t>
  </si>
  <si>
    <t xml:space="preserve">University of Nottingham Ningbo China</t>
  </si>
  <si>
    <t xml:space="preserve">[Research tenure-track] Open Rank Professor of Management Information Systems (Tenured/Tenure-Track)
[Research tenure-track] Assistant Professor of Management Information Systems - Tenure Track</t>
  </si>
  <si>
    <t xml:space="preserve">[Research tenure-track] Assistant Professor of Business Analytics, AI/ML, Fall 2027</t>
  </si>
  <si>
    <t xml:space="preserve">[Research tenure-track] Tenure-Track Assistant Professor of Management Information Systems</t>
  </si>
  <si>
    <t xml:space="preserve">[Research tenure-track] Assistant Professor of Business Information Systems (tenure-track)</t>
  </si>
  <si>
    <t xml:space="preserve">[Research tenure-track] Assistant Professor of Information Systems (2 Open Positions)
[Part-time / adjunct] Part-Time Lecturer Pool (PD 26-27) - Information Systems</t>
  </si>
  <si>
    <t xml:space="preserve">University of Tampa</t>
  </si>
  <si>
    <t xml:space="preserve">University of Macau</t>
  </si>
  <si>
    <t xml:space="preserve">[Research tenure-track] Assistant Professor (tenure system) in Information Systems
[Teaching non-tenure-track] Professor of Practice in Information Systems</t>
  </si>
  <si>
    <t xml:space="preserve">[Part-time / adjunct] Information Systems and Decision Sciences - Part-Time Lecturer Pool</t>
  </si>
  <si>
    <t xml:space="preserve">Not identified - check which posting you used</t>
  </si>
  <si>
    <t xml:space="preserve">Southern Illinois University Edwardsville</t>
  </si>
  <si>
    <t xml:space="preserve">University of South Carolina Aiken</t>
  </si>
  <si>
    <t xml:space="preserve">City University of Hong Kong</t>
  </si>
  <si>
    <t xml:space="preserve">Northern State University</t>
  </si>
  <si>
    <t xml:space="preserve">The Ohio State University</t>
  </si>
  <si>
    <t xml:space="preserve">[Teaching non-tenure-track] Assistant Clinical-Track Faculty: Business Analytics</t>
  </si>
  <si>
    <t xml:space="preserve">Furman University</t>
  </si>
  <si>
    <t xml:space="preserve">[Research tenure-track] Assistant/Associate Professor of Information Systems &amp; Business Analytics (Emphasis: Cybersecurity Management), Tenure-Track</t>
  </si>
  <si>
    <t xml:space="preserve">[Research tenure-track] Assistant Professor (Management Science &amp; Information Systems), req. 210018
[Teaching non-tenure-track] Instructor/Assistant/Associate/Full Professor of Professional Practice</t>
  </si>
  <si>
    <t xml:space="preserve">Indiana University</t>
  </si>
  <si>
    <t xml:space="preserve">[Research tenure-track] Assistant/Associate/Full Professor positions, Kelley School of Business (Operations and Decision Technologies, Information Systems), multiple tenured/tenure-track positions
[Teaching non-tenure-track] Open-Rank Clinical Faculty (non-tenure-track), Information Systems</t>
  </si>
  <si>
    <t xml:space="preserve">Stetson University</t>
  </si>
  <si>
    <t xml:space="preserve">[Research tenure-track] Professor of Information Systems and Business Analytics (ISBA), tenured, with endowed chair (R19605)</t>
  </si>
  <si>
    <t xml:space="preserve">Kennesaw State University - Information Systems (300876)</t>
  </si>
  <si>
    <t xml:space="preserve">[Research tenure-track] Assistant Professor of Information Systems and Security
[Research tenure-track] Assistant Professor of Information Systems and Security (Cybersecurity)</t>
  </si>
  <si>
    <t xml:space="preserve">Florida State University</t>
  </si>
  <si>
    <t xml:space="preserve">[Research tenure-track] Tenured/Tenure-Track Faculty, Department of Business Analytics (Assistant, Associate, or Full Professor), Requisition 76016</t>
  </si>
  <si>
    <t xml:space="preserve">[Research tenure-track] Assistant Professor in Information Systems and Business Analytics (Artificial Intelligence)</t>
  </si>
  <si>
    <t xml:space="preserve">[Research tenure-track] Assistant Professor (Management Information Systems), one or more positions (posting F2762P)</t>
  </si>
  <si>
    <t xml:space="preserve">Santa Clara University</t>
  </si>
  <si>
    <t xml:space="preserve">Kansas State University (KSU)</t>
  </si>
  <si>
    <t xml:space="preserve">Kansas State University</t>
  </si>
  <si>
    <t xml:space="preserve">Rotterdam School of Management (RSM)</t>
  </si>
  <si>
    <t xml:space="preserve">Pennsylvania State University</t>
  </si>
  <si>
    <t xml:space="preserve">[Research tenure-track] Open-Rank Professor in Business Analytics and Information Systems (tenure-track)</t>
  </si>
  <si>
    <t xml:space="preserve">[Research tenure-track] Assistant Professor, Tenure-Track, Information Systems and Information Management
[Teaching non-tenure-track] Assistant Teaching Professor, Teaching-Track, Information Systems and Information Management (2 positions)</t>
  </si>
  <si>
    <t xml:space="preserve">[Research tenure-track] Assistant Professor, Business Analytics &amp; Information Systems (two 9-month tenure-track positions)
[Lecturer / instructor] Lecturer or Professor of Practice, Business Analytics &amp; Information Systems (non-tenure-track)</t>
  </si>
  <si>
    <t xml:space="preserve">[Research tenure-track] Open-Rank Tenure-Track Faculty Position: IT, Analytics, and Operations with a focus on Data, AI, and Computing</t>
  </si>
  <si>
    <t xml:space="preserve">[Research tenure-track] Assistant Professor, School of Information Systems &amp; Technology</t>
  </si>
  <si>
    <t xml:space="preserve">Nova School of Business and Economics (Nova SBE)</t>
  </si>
  <si>
    <t xml:space="preserve">University of Manitoba</t>
  </si>
  <si>
    <t xml:space="preserve">[Research tenure-track] Assistant Professor of Information Systems
[Research tenure-track] Assistant Professor of Analytics and AI</t>
  </si>
  <si>
    <t xml:space="preserve">The Chinese University of Hong Kong, Shenzhen</t>
  </si>
  <si>
    <t xml:space="preserve">[Research tenure-track] Assistant Professor (Business Information Technology, tenure-track)</t>
  </si>
  <si>
    <t xml:space="preserve">[Research tenure-track] Open Rank Tenure-Track Faculty Position in Information Technology Management</t>
  </si>
  <si>
    <t xml:space="preserve">University of California, Los Angeles (UCLA)</t>
  </si>
  <si>
    <t xml:space="preserve">[Research tenure-track] Announcement of Tenure-Track Faculty Position in Decisions, Operations, and Technology Management (Assistant Professor) (JPF11233)</t>
  </si>
  <si>
    <t xml:space="preserve">Hong Kong University of Science and Technology (GZ)</t>
  </si>
  <si>
    <t xml:space="preserve">Nanyang Technological University</t>
  </si>
  <si>
    <t xml:space="preserve">The University of Hong Kong</t>
  </si>
  <si>
    <t xml:space="preserve">[Research tenure-track] Assistant Professor (Tenure-Track), Department of Information Systems
[Research tenure-track] Assistant, Associate, Full Professor (Open Rank) - Department of Information Systems</t>
  </si>
  <si>
    <t xml:space="preserve">University of Minnesota</t>
  </si>
  <si>
    <t xml:space="preserve">[Research tenure-track] Tenure-Track Assistant Professor in Information Systems</t>
  </si>
  <si>
    <t xml:space="preserve">National University of Singapore</t>
  </si>
  <si>
    <t xml:space="preserve">California State Polytechnic University, Pomona</t>
  </si>
  <si>
    <t xml:space="preserve">[Research tenure-track] Computer Information Systems, Assistant Professor (Job #558301; tenure-track)</t>
  </si>
  <si>
    <t xml:space="preserve">Sabancı University</t>
  </si>
  <si>
    <t xml:space="preserve">The Chinese University of Hong Kong</t>
  </si>
  <si>
    <t xml:space="preserve">[Research tenure-track] Assistant Professor of Information Systems (tenure-track)</t>
  </si>
  <si>
    <t xml:space="preserve">Shanghai Jiao Tong University</t>
  </si>
  <si>
    <t xml:space="preserve">California State University, Stanislaus</t>
  </si>
  <si>
    <t xml:space="preserve">London Business School</t>
  </si>
  <si>
    <t xml:space="preserve">[Research tenure-track] Assistant Professor (Information Systems and Operations Management)</t>
  </si>
</sst>
</file>

<file path=xl/styles.xml><?xml version="1.0" encoding="utf-8"?>
<styleSheet xmlns="http://schemas.openxmlformats.org/spreadsheetml/2006/main">
  <numFmts count="3">
    <numFmt numFmtId="164" formatCode="General"/>
    <numFmt numFmtId="165" formatCode="General"/>
    <numFmt numFmtId="166" formatCode="yyyy\-mm\-dd"/>
  </numFmts>
  <fonts count="13">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sz val="11"/>
      <name val="Arial"/>
      <family val="0"/>
      <charset val="1"/>
    </font>
    <font>
      <sz val="10"/>
      <name val="Arial"/>
      <family val="0"/>
      <charset val="1"/>
    </font>
    <font>
      <b val="true"/>
      <sz val="11"/>
      <name val="Arial"/>
      <family val="0"/>
      <charset val="1"/>
    </font>
    <font>
      <sz val="9"/>
      <name val="Arial"/>
      <family val="0"/>
      <charset val="1"/>
    </font>
    <font>
      <b val="true"/>
      <sz val="10"/>
      <name val="Arial"/>
      <family val="0"/>
      <charset val="1"/>
    </font>
    <font>
      <b val="true"/>
      <sz val="10"/>
      <color rgb="FFFFFFFF"/>
      <name val="Arial"/>
      <family val="0"/>
      <charset val="1"/>
    </font>
    <font>
      <b val="true"/>
      <sz val="9"/>
      <name val="Arial"/>
      <family val="0"/>
      <charset val="1"/>
    </font>
    <font>
      <u val="single"/>
      <sz val="9"/>
      <color rgb="FF0563C1"/>
      <name val="Arial"/>
      <family val="0"/>
      <charset val="1"/>
    </font>
  </fonts>
  <fills count="15">
    <fill>
      <patternFill patternType="none"/>
    </fill>
    <fill>
      <patternFill patternType="gray125"/>
    </fill>
    <fill>
      <patternFill patternType="solid">
        <fgColor rgb="FF1F3864"/>
        <bgColor rgb="FF333333"/>
      </patternFill>
    </fill>
    <fill>
      <patternFill patternType="solid">
        <fgColor rgb="FFFF7C80"/>
        <bgColor rgb="FFF4B183"/>
      </patternFill>
    </fill>
    <fill>
      <patternFill patternType="solid">
        <fgColor rgb="FFE2EFDA"/>
        <bgColor rgb="FFEDEDED"/>
      </patternFill>
    </fill>
    <fill>
      <patternFill patternType="solid">
        <fgColor rgb="FFFFD966"/>
        <bgColor rgb="FFFFE699"/>
      </patternFill>
    </fill>
    <fill>
      <patternFill patternType="solid">
        <fgColor rgb="FFC6E0B4"/>
        <bgColor rgb="FFD9D9D9"/>
      </patternFill>
    </fill>
    <fill>
      <patternFill patternType="solid">
        <fgColor rgb="FFA9D08E"/>
        <bgColor rgb="FFC6E0B4"/>
      </patternFill>
    </fill>
    <fill>
      <patternFill patternType="solid">
        <fgColor rgb="FFFFE699"/>
        <bgColor rgb="FFFFD966"/>
      </patternFill>
    </fill>
    <fill>
      <patternFill patternType="solid">
        <fgColor rgb="FFF4B183"/>
        <bgColor rgb="FFF8CBAD"/>
      </patternFill>
    </fill>
    <fill>
      <patternFill patternType="solid">
        <fgColor rgb="FFD9D9D9"/>
        <bgColor rgb="FFBDD7EE"/>
      </patternFill>
    </fill>
    <fill>
      <patternFill patternType="solid">
        <fgColor rgb="FFEDEDED"/>
        <bgColor rgb="FFE2EFDA"/>
      </patternFill>
    </fill>
    <fill>
      <patternFill patternType="solid">
        <fgColor rgb="FFBDD7EE"/>
        <bgColor rgb="FFD9D9D9"/>
      </patternFill>
    </fill>
    <fill>
      <patternFill patternType="solid">
        <fgColor rgb="FFF8CBAD"/>
        <bgColor rgb="FFFFE699"/>
      </patternFill>
    </fill>
    <fill>
      <patternFill patternType="solid">
        <fgColor rgb="FFBFBFBF"/>
        <bgColor rgb="FFA9D08E"/>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5" fontId="9"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64" fontId="10" fillId="2" borderId="1" xfId="0" applyFont="true" applyBorder="true" applyAlignment="true" applyProtection="false">
      <alignment horizontal="general" vertical="center" textRotation="0" wrapText="true" indent="0" shrinkToFit="false"/>
      <protection locked="true" hidden="false"/>
    </xf>
    <xf numFmtId="164" fontId="11" fillId="3"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fals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6" fontId="8" fillId="0" borderId="1" xfId="0" applyFont="true" applyBorder="true" applyAlignment="true" applyProtection="false">
      <alignment horizontal="general" vertical="top" textRotation="0" wrapText="false" indent="0" shrinkToFit="false"/>
      <protection locked="true" hidden="false"/>
    </xf>
    <xf numFmtId="164" fontId="8" fillId="4" borderId="1" xfId="0" applyFont="true" applyBorder="true" applyAlignment="true" applyProtection="false">
      <alignment horizontal="general" vertical="top" textRotation="0" wrapText="true" indent="0" shrinkToFit="false"/>
      <protection locked="true" hidden="false"/>
    </xf>
    <xf numFmtId="164" fontId="12" fillId="0" borderId="1" xfId="0" applyFont="true" applyBorder="true" applyAlignment="true" applyProtection="false">
      <alignment horizontal="general" vertical="top" textRotation="0" wrapText="true" indent="0" shrinkToFit="false"/>
      <protection locked="true" hidden="false"/>
    </xf>
    <xf numFmtId="164" fontId="11" fillId="0" borderId="1" xfId="0" applyFont="true" applyBorder="true" applyAlignment="true" applyProtection="false">
      <alignment horizontal="general" vertical="top" textRotation="0" wrapText="false" indent="0" shrinkToFit="false"/>
      <protection locked="true" hidden="false"/>
    </xf>
    <xf numFmtId="164" fontId="11" fillId="5" borderId="1" xfId="0" applyFont="true" applyBorder="true" applyAlignment="true" applyProtection="false">
      <alignment horizontal="general" vertical="top" textRotation="0" wrapText="true" indent="0" shrinkToFit="false"/>
      <protection locked="true" hidden="false"/>
    </xf>
    <xf numFmtId="164" fontId="8" fillId="6" borderId="1" xfId="0" applyFont="true" applyBorder="true" applyAlignment="true" applyProtection="false">
      <alignment horizontal="general" vertical="top" textRotation="0" wrapText="true" indent="0" shrinkToFit="false"/>
      <protection locked="true" hidden="false"/>
    </xf>
    <xf numFmtId="164" fontId="8" fillId="7" borderId="1" xfId="0" applyFont="true" applyBorder="true" applyAlignment="true" applyProtection="false">
      <alignment horizontal="general" vertical="top" textRotation="0" wrapText="true" indent="0" shrinkToFit="false"/>
      <protection locked="true" hidden="false"/>
    </xf>
    <xf numFmtId="164" fontId="8" fillId="8" borderId="1" xfId="0" applyFont="true" applyBorder="true" applyAlignment="true" applyProtection="false">
      <alignment horizontal="general" vertical="top" textRotation="0" wrapText="true" indent="0" shrinkToFit="false"/>
      <protection locked="true" hidden="false"/>
    </xf>
    <xf numFmtId="164" fontId="11" fillId="9" borderId="1" xfId="0" applyFont="true" applyBorder="true" applyAlignment="true" applyProtection="false">
      <alignment horizontal="general" vertical="top" textRotation="0" wrapText="true" indent="0" shrinkToFit="false"/>
      <protection locked="true" hidden="false"/>
    </xf>
    <xf numFmtId="164" fontId="11" fillId="6" borderId="1" xfId="0" applyFont="true" applyBorder="true" applyAlignment="true" applyProtection="false">
      <alignment horizontal="general" vertical="top" textRotation="0" wrapText="true" indent="0" shrinkToFit="false"/>
      <protection locked="true" hidden="false"/>
    </xf>
    <xf numFmtId="164" fontId="11" fillId="10" borderId="1" xfId="0" applyFont="true" applyBorder="true" applyAlignment="true" applyProtection="false">
      <alignment horizontal="general" vertical="top" textRotation="0" wrapText="true" indent="0" shrinkToFit="false"/>
      <protection locked="true" hidden="false"/>
    </xf>
    <xf numFmtId="164" fontId="8" fillId="11" borderId="1" xfId="0" applyFont="true" applyBorder="true" applyAlignment="true" applyProtection="false">
      <alignment horizontal="general" vertical="top" textRotation="0" wrapText="true" indent="0" shrinkToFit="false"/>
      <protection locked="true" hidden="false"/>
    </xf>
    <xf numFmtId="164" fontId="11" fillId="12" borderId="1" xfId="0" applyFont="true" applyBorder="true" applyAlignment="true" applyProtection="false">
      <alignment horizontal="general" vertical="top" textRotation="0" wrapText="true" indent="0" shrinkToFit="false"/>
      <protection locked="true" hidden="false"/>
    </xf>
    <xf numFmtId="164" fontId="8" fillId="13" borderId="1" xfId="0" applyFont="true" applyBorder="true" applyAlignment="true" applyProtection="false">
      <alignment horizontal="general" vertical="top" textRotation="0" wrapText="true" indent="0" shrinkToFit="false"/>
      <protection locked="true" hidden="false"/>
    </xf>
    <xf numFmtId="164" fontId="11" fillId="14" borderId="1" xfId="0" applyFont="true" applyBorder="true" applyAlignment="true" applyProtection="false">
      <alignment horizontal="general" vertical="top" textRotation="0" wrapText="true" indent="0" shrinkToFit="false"/>
      <protection locked="true" hidden="false"/>
    </xf>
    <xf numFmtId="166" fontId="8"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6">
    <dxf>
      <fill>
        <patternFill patternType="solid">
          <fgColor rgb="FF1F3864"/>
          <bgColor rgb="FF000000"/>
        </patternFill>
      </fill>
    </dxf>
    <dxf>
      <fill>
        <patternFill patternType="solid">
          <fgColor rgb="FFC6E0B4"/>
          <bgColor rgb="FF000000"/>
        </patternFill>
      </fill>
    </dxf>
    <dxf>
      <fill>
        <patternFill patternType="solid">
          <fgColor rgb="FFF4B183"/>
          <bgColor rgb="FF000000"/>
        </patternFill>
      </fill>
    </dxf>
    <dxf>
      <fill>
        <patternFill patternType="solid">
          <fgColor rgb="FFFF7C80"/>
          <bgColor rgb="FF000000"/>
        </patternFill>
      </fill>
    </dxf>
    <dxf>
      <fill>
        <patternFill patternType="solid">
          <fgColor rgb="FFFFD966"/>
          <bgColor rgb="FF000000"/>
        </patternFill>
      </fill>
    </dxf>
    <dxf>
      <fill>
        <patternFill patternType="solid">
          <fgColor rgb="FFFFFFFF"/>
          <bgColor rgb="FF000000"/>
        </patternFill>
      </fill>
    </dxf>
    <dxf>
      <fill>
        <patternFill patternType="solid">
          <bgColor rgb="FF000000"/>
        </patternFill>
      </fill>
    </dxf>
    <dxf>
      <fill>
        <patternFill patternType="solid">
          <fgColor rgb="FFA9D08E"/>
          <bgColor rgb="FF000000"/>
        </patternFill>
      </fill>
    </dxf>
    <dxf>
      <fill>
        <patternFill patternType="solid">
          <fgColor rgb="FFE2EFDA"/>
          <bgColor rgb="FF000000"/>
        </patternFill>
      </fill>
    </dxf>
    <dxf>
      <fill>
        <patternFill patternType="solid">
          <fgColor rgb="FFFFE699"/>
          <bgColor rgb="FF000000"/>
        </patternFill>
      </fill>
    </dxf>
    <dxf>
      <fill>
        <patternFill patternType="solid">
          <fgColor rgb="FF0563C1"/>
          <bgColor rgb="FF000000"/>
        </patternFill>
      </fill>
    </dxf>
    <dxf>
      <fill>
        <patternFill patternType="solid">
          <fgColor rgb="FFBDD7EE"/>
          <bgColor rgb="FF000000"/>
        </patternFill>
      </fill>
    </dxf>
    <dxf>
      <fill>
        <patternFill patternType="solid">
          <fgColor rgb="FFBFBFBF"/>
          <bgColor rgb="FF000000"/>
        </patternFill>
      </fill>
    </dxf>
    <dxf>
      <fill>
        <patternFill patternType="solid">
          <fgColor rgb="FFD9D9D9"/>
          <bgColor rgb="FF000000"/>
        </patternFill>
      </fill>
    </dxf>
    <dxf>
      <fill>
        <patternFill patternType="solid">
          <fgColor rgb="FFEDEDED"/>
          <bgColor rgb="FF000000"/>
        </patternFill>
      </fill>
    </dxf>
    <dxf>
      <fill>
        <patternFill patternType="solid">
          <fgColor rgb="FFF8CBAD"/>
          <bgColor rgb="FF000000"/>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548235"/>
      <rgbColor rgb="FF800080"/>
      <rgbColor rgb="FF008080"/>
      <rgbColor rgb="FFBFBFBF"/>
      <rgbColor rgb="FF808080"/>
      <rgbColor rgb="FF9999FF"/>
      <rgbColor rgb="FF993366"/>
      <rgbColor rgb="FFEDEDED"/>
      <rgbColor rgb="FFD9D9D9"/>
      <rgbColor rgb="FF660066"/>
      <rgbColor rgb="FFFF7C80"/>
      <rgbColor rgb="FF0563C1"/>
      <rgbColor rgb="FFBDD7EE"/>
      <rgbColor rgb="FF000080"/>
      <rgbColor rgb="FFFF00FF"/>
      <rgbColor rgb="FFFFFF00"/>
      <rgbColor rgb="FF00FFFF"/>
      <rgbColor rgb="FF800080"/>
      <rgbColor rgb="FF800000"/>
      <rgbColor rgb="FF008080"/>
      <rgbColor rgb="FF0000FF"/>
      <rgbColor rgb="FF00CCFF"/>
      <rgbColor rgb="FFC6E0B4"/>
      <rgbColor rgb="FFE2EFDA"/>
      <rgbColor rgb="FFFFE699"/>
      <rgbColor rgb="FFA9D08E"/>
      <rgbColor rgb="FFF4B183"/>
      <rgbColor rgb="FFCC99FF"/>
      <rgbColor rgb="FFF8CBAD"/>
      <rgbColor rgb="FF3366FF"/>
      <rgbColor rgb="FF33CCCC"/>
      <rgbColor rgb="FF99CC00"/>
      <rgbColor rgb="FFFFD966"/>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hyperlink" Target="https://www.gsb.stanford.edu/jobs/faculty-positions/operations-information-technology" TargetMode="External"/><Relationship Id="rId2" Type="http://schemas.openxmlformats.org/officeDocument/2006/relationships/hyperlink" Target="https://jobs.chronicle.com/job/38034183/assistant-teaching-professor-teaching-track-information-systems-and-information-management/?TrackID=10" TargetMode="External"/><Relationship Id="rId3" Type="http://schemas.openxmlformats.org/officeDocument/2006/relationships/hyperlink" Target="https://careers.purdue.edu/job/Assistant-Professor-of-Management-in-Management-Information-Systems/38552-en_US" TargetMode="External"/><Relationship Id="rId4" Type="http://schemas.openxmlformats.org/officeDocument/2006/relationships/hyperlink" Target="https://careers.purdue.edu/job/AssociateFull-Professor%2C-MIS/44026-en_US" TargetMode="External"/><Relationship Id="rId5" Type="http://schemas.openxmlformats.org/officeDocument/2006/relationships/hyperlink" Target="https://www.jobs.virginia.gov/jobs/data-analytics-and-decision-science-faculty-open-rank-tt-t-charlottesville-virginia-united-states" TargetMode="External"/><Relationship Id="rId6" Type="http://schemas.openxmlformats.org/officeDocument/2006/relationships/hyperlink" Target="https://miamioh.wd5.myworkdayjobs.com/en-US/miamioh-faculty/job/Farmer-School-of-Business/Assistant-Professor_JR104289" TargetMode="External"/><Relationship Id="rId7" Type="http://schemas.openxmlformats.org/officeDocument/2006/relationships/hyperlink" Target="https://apply.interfolio.com/189675" TargetMode="External"/><Relationship Id="rId8" Type="http://schemas.openxmlformats.org/officeDocument/2006/relationships/hyperlink" Target="https://binghamton.interviewexchange.com/jobofferdetails.jsp?JOBID=205076" TargetMode="External"/><Relationship Id="rId9" Type="http://schemas.openxmlformats.org/officeDocument/2006/relationships/hyperlink" Target="https://www.udiversity.com/posting/7276573" TargetMode="External"/><Relationship Id="rId10" Type="http://schemas.openxmlformats.org/officeDocument/2006/relationships/hyperlink" Target="https://jobs.chronicle.com/job/38039108/lecturer-or-professor-of-practice/?TrackID=10" TargetMode="External"/><Relationship Id="rId11" Type="http://schemas.openxmlformats.org/officeDocument/2006/relationships/hyperlink" Target="https://www.higheredjobs.com/faculty/details.cfm?JobCode=179538136" TargetMode="External"/><Relationship Id="rId12" Type="http://schemas.openxmlformats.org/officeDocument/2006/relationships/hyperlink" Target="https://apply.interfolio.com/191584" TargetMode="External"/><Relationship Id="rId13" Type="http://schemas.openxmlformats.org/officeDocument/2006/relationships/hyperlink" Target="https://apol-recruit.ucsd.edu/JPF04466" TargetMode="External"/><Relationship Id="rId14" Type="http://schemas.openxmlformats.org/officeDocument/2006/relationships/hyperlink" Target="https://www.tealhq.com/job/adjunct-faculty-department-of-computer-information-systems-open-pool_cf1394da-9120-4e71-8fc7-5e098746cc26" TargetMode="External"/><Relationship Id="rId15" Type="http://schemas.openxmlformats.org/officeDocument/2006/relationships/hyperlink" Target="https://jobs.utdallas.edu/postings/32958" TargetMode="External"/><Relationship Id="rId16" Type="http://schemas.openxmlformats.org/officeDocument/2006/relationships/hyperlink" Target="https://recruit.ucsc.edu/JPF02072" TargetMode="External"/><Relationship Id="rId17" Type="http://schemas.openxmlformats.org/officeDocument/2006/relationships/hyperlink" Target="https://recruit.ap.uci.edu/JPF10123" TargetMode="External"/><Relationship Id="rId18" Type="http://schemas.openxmlformats.org/officeDocument/2006/relationships/hyperlink" Target="https://jobs.hr.txstate.edu/postings/57741" TargetMode="External"/><Relationship Id="rId19" Type="http://schemas.openxmlformats.org/officeDocument/2006/relationships/hyperlink" Target="https://www.higheredjobs.com/faculty/details.cfm?JobCode=178958802&amp;Title=Part+Time+Faculty+School+of+Accountancy+and+MIS" TargetMode="External"/><Relationship Id="rId20" Type="http://schemas.openxmlformats.org/officeDocument/2006/relationships/hyperlink" Target="https://recruit.ucdavis.edu/JPF07773" TargetMode="External"/><Relationship Id="rId21" Type="http://schemas.openxmlformats.org/officeDocument/2006/relationships/hyperlink" Target="https://facultycareers.gsu.edu/postings/7383" TargetMode="External"/><Relationship Id="rId22" Type="http://schemas.openxmlformats.org/officeDocument/2006/relationships/hyperlink" Target="https://careers.insidehighered.com/job/3548384/ccb-tenure-track-assistant-professor-in-management-information-systems-mis-530515/" TargetMode="External"/><Relationship Id="rId23" Type="http://schemas.openxmlformats.org/officeDocument/2006/relationships/hyperlink" Target="https://recruit.ucsc.edu/JPF02091" TargetMode="External"/><Relationship Id="rId24" Type="http://schemas.openxmlformats.org/officeDocument/2006/relationships/hyperlink" Target="https://american.wd1.myworkdayjobs.com/en-US/AU/job/KSB-Adjunct-Faculty---Information-Technology---Analytics--Open-Countinuous-_R1201" TargetMode="External"/><Relationship Id="rId25" Type="http://schemas.openxmlformats.org/officeDocument/2006/relationships/hyperlink" Target="https://jobs.utdallas.edu/postings/32668" TargetMode="External"/><Relationship Id="rId26" Type="http://schemas.openxmlformats.org/officeDocument/2006/relationships/hyperlink" Target="https://jobs.chronicle.com/job/38039773/2026-27-professional-track-faculty-irom/" TargetMode="External"/><Relationship Id="rId27" Type="http://schemas.openxmlformats.org/officeDocument/2006/relationships/hyperlink" Target="https://www.sorce.jobs/jobs/information-systems-open-rank-tenure-track-or-college-faculty-acu-j1_dNadE8uIFSnXonoZpzLAelS3rzKqz2sjwpBl_DwxOmev1iGrFQ" TargetMode="External"/><Relationship Id="rId28" Type="http://schemas.openxmlformats.org/officeDocument/2006/relationships/hyperlink" Target="https://jobs.phdproject.org/jobs/584887018-professorial-lecturer-at-american-university-kogod-school-of-business" TargetMode="External"/><Relationship Id="rId29" Type="http://schemas.openxmlformats.org/officeDocument/2006/relationships/hyperlink" Target="https://jobs.chronicle.com/job/38034229/lecturer/" TargetMode="External"/><Relationship Id="rId30" Type="http://schemas.openxmlformats.org/officeDocument/2006/relationships/hyperlink" Target="https://jobs.chronicle.com/job/38027818/lowe-s-tech-distinguished-professor-and-program-director-in-cybersecurity/" TargetMode="External"/><Relationship Id="rId31" Type="http://schemas.openxmlformats.org/officeDocument/2006/relationships/hyperlink" Target="https://jobs.chronicle.com/job/38043081/assistant-professor-of-information-systems-and-operations-management/" TargetMode="External"/><Relationship Id="rId32" Type="http://schemas.openxmlformats.org/officeDocument/2006/relationships/hyperlink" Target="https://binghamton.interviewexchange.com/jobofferdetails.jsp;jsessionid=D34EC62516DE87F3128274B8DE558D6E?JOBID=198532" TargetMode="External"/><Relationship Id="rId33" Type="http://schemas.openxmlformats.org/officeDocument/2006/relationships/hyperlink" Target="https://csucareers.calstate.edu/en-us/job/559035/information-systems-and-decision-sciences-parttime-lecturer-pool" TargetMode="External"/><Relationship Id="rId34" Type="http://schemas.openxmlformats.org/officeDocument/2006/relationships/hyperlink" Target="https://www.csulb.edu/college-of-business/office-of-the-dean/job-opportunities" TargetMode="External"/><Relationship Id="rId35" Type="http://schemas.openxmlformats.org/officeDocument/2006/relationships/hyperlink" Target="https://csucareers.calstate.edu/en-us/job/555366/202627-ay-lecturer-pool-information-systems" TargetMode="External"/><Relationship Id="rId36" Type="http://schemas.openxmlformats.org/officeDocument/2006/relationships/hyperlink" Target="https://jobs.chronicle.com/job/38045010/assistant-professor-of-management-science-tenure-track-fall-2027/" TargetMode="External"/><Relationship Id="rId37" Type="http://schemas.openxmlformats.org/officeDocument/2006/relationships/hyperlink" Target="https://hrjobs.csuohio.edu/postings/19956" TargetMode="External"/><Relationship Id="rId38" Type="http://schemas.openxmlformats.org/officeDocument/2006/relationships/hyperlink" Target="https://www.higheredjobs.com/faculty/details.cfm?JobCode=179383349" TargetMode="External"/><Relationship Id="rId39" Type="http://schemas.openxmlformats.org/officeDocument/2006/relationships/hyperlink" Target="https://home.hamptonu.edu/hr/2026/05/29/management-information-systems-mis-professor-department-of-business-administration-and-accounting/" TargetMode="External"/><Relationship Id="rId40" Type="http://schemas.openxmlformats.org/officeDocument/2006/relationships/hyperlink" Target="https://jobs.chronicle.com/job/38045022/assistant-associate-professor-business-information-systems-and-analytics/" TargetMode="External"/><Relationship Id="rId41" Type="http://schemas.openxmlformats.org/officeDocument/2006/relationships/hyperlink" Target="https://www.ndsu.edu/business/our-team/join-our-team/adjunct-instructors" TargetMode="External"/><Relationship Id="rId42" Type="http://schemas.openxmlformats.org/officeDocument/2006/relationships/hyperlink" Target="https://www.tealhq.com/job/instructor-pool-accounting-finance-and-information-systems_7ea1a8d9ac5dd3d434dd54e18a9ddb6d6655f" TargetMode="External"/><Relationship Id="rId43" Type="http://schemas.openxmlformats.org/officeDocument/2006/relationships/hyperlink" Target="https://jobs.hrc.pdx.edu/postings/49706" TargetMode="External"/><Relationship Id="rId44" Type="http://schemas.openxmlformats.org/officeDocument/2006/relationships/hyperlink" Target="https://careers.purdue.edu/job/Clinical-Assistant-Professor,-MIS/41739-en_US/" TargetMode="External"/><Relationship Id="rId45" Type="http://schemas.openxmlformats.org/officeDocument/2006/relationships/hyperlink" Target="https://jobs.rutgers.edu/postings/282025" TargetMode="External"/><Relationship Id="rId46" Type="http://schemas.openxmlformats.org/officeDocument/2006/relationships/hyperlink" Target="https://www3.fox.temple.edu/discover/2026/08/18/7-new-researchers-join-fox-school-faculty/" TargetMode="External"/><Relationship Id="rId47" Type="http://schemas.openxmlformats.org/officeDocument/2006/relationships/hyperlink" Target="https://www.fox.temple.edu/faculty-research/open-faculty-positions" TargetMode="External"/><Relationship Id="rId48" Type="http://schemas.openxmlformats.org/officeDocument/2006/relationships/hyperlink" Target="https://jobs.tcu.edu/jobs/information-systems-faculty-adjunct-pool-tcu-main-campus-texas-united-states-4e0b7d2f-ca20-46aa-a3d6-d4430778a4fe" TargetMode="External"/><Relationship Id="rId49" Type="http://schemas.openxmlformats.org/officeDocument/2006/relationships/hyperlink" Target="https://jobs.tsu.edu/postings/11719" TargetMode="External"/><Relationship Id="rId50" Type="http://schemas.openxmlformats.org/officeDocument/2006/relationships/hyperlink" Target="https://jobs.world.edu/jobs/lecturer-senior-lecturer-2/" TargetMode="External"/><Relationship Id="rId51" Type="http://schemas.openxmlformats.org/officeDocument/2006/relationships/hyperlink" Target="https://tulane-ibqejb.fa.ocs.oraclecloud.com/hcmUI/CandidateExperience/en/sites/CX_1001/job/1738" TargetMode="External"/><Relationship Id="rId52" Type="http://schemas.openxmlformats.org/officeDocument/2006/relationships/hyperlink" Target="https://recruit.ap.uci.edu/JPF09384" TargetMode="External"/><Relationship Id="rId53" Type="http://schemas.openxmlformats.org/officeDocument/2006/relationships/hyperlink" Target="https://careers.uh.edu/jobs/adjunct-faculty-decision-information-sciences-houston-texas-united-states" TargetMode="External"/><Relationship Id="rId54" Type="http://schemas.openxmlformats.org/officeDocument/2006/relationships/hyperlink" Target="https://www.indeed.com/q-bioinformatics-lecturers-l-louisville,-ky-jobs.html" TargetMode="External"/><Relationship Id="rId55" Type="http://schemas.openxmlformats.org/officeDocument/2006/relationships/hyperlink" Target="https://careers.insidehighered.com/job/3473108/associate-lecturer-college-of-management/?TrackID=11" TargetMode="External"/><Relationship Id="rId56" Type="http://schemas.openxmlformats.org/officeDocument/2006/relationships/hyperlink" Target="https://jobs.chronicle.com/job/38045946/assistant-professor-management-information-systems/" TargetMode="External"/><Relationship Id="rId57" Type="http://schemas.openxmlformats.org/officeDocument/2006/relationships/hyperlink" Target="https://careers.untsystem.edu/jobs/adjunct-instructor-information-technology-decision-sciences-denton-texas-united-states-b68aaa16-7188-4215-bc57-b4d00f89954a" TargetMode="External"/><Relationship Id="rId58" Type="http://schemas.openxmlformats.org/officeDocument/2006/relationships/hyperlink" Target="https://www.highered360.com/jobs/JobDetail.cfm?JobID=179212463" TargetMode="External"/><Relationship Id="rId59" Type="http://schemas.openxmlformats.org/officeDocument/2006/relationships/hyperlink" Target="https://usccareers.usc.edu/job/los-angeles/adjunct-professor-of-data-sciences-and-operations/1209/93285006512" TargetMode="External"/><Relationship Id="rId60" Type="http://schemas.openxmlformats.org/officeDocument/2006/relationships/hyperlink" Target="https://www.uta.edu/academics/schools-colleges/business/departments/information-systems-and-operations-management" TargetMode="External"/><Relationship Id="rId61" Type="http://schemas.openxmlformats.org/officeDocument/2006/relationships/hyperlink" Target="https://www.disabledperson.com/jobs/75493209-tenure-track-faculty-management-information-systems" TargetMode="External"/><Relationship Id="rId62" Type="http://schemas.openxmlformats.org/officeDocument/2006/relationships/hyperlink" Target="https://wpi.wd5.myworkdayjobs.com/en-US/WPI_External_Career_Site/job/Assistant-Professor-of-Information-Systems-Block-Chain_R0003454" TargetMode="External"/><Relationship Id="rId63" Type="http://schemas.openxmlformats.org/officeDocument/2006/relationships/hyperlink" Target="https://careers.hprod.onehcm.usg.edu/psc/careers/CAREERS/HRMS/c/HRS_HRAM_FL.HRS_CG_SEARCH_FL.GBL?Page=HRS_APP_JBPST_FL&amp;Action=U&amp;FOCUS=Applicant&amp;SiteId=12000&amp;JobOpeningId=290816&amp;PostingSeq=1" TargetMode="External"/><Relationship Id="rId64" Type="http://schemas.openxmlformats.org/officeDocument/2006/relationships/hyperlink" Target="https://www.bu.edu/questrom/faculty/adjunct-recruitment/" TargetMode="External"/><Relationship Id="rId65" Type="http://schemas.openxmlformats.org/officeDocument/2006/relationships/hyperlink" Target="https://www.higheredjobs.com/faculty/details.cfm?JobCode=179257832" TargetMode="External"/><Relationship Id="rId66" Type="http://schemas.openxmlformats.org/officeDocument/2006/relationships/hyperlink" Target="https://business.gwu.edu/about/departments/decision-sciences" TargetMode="External"/><Relationship Id="rId67" Type="http://schemas.openxmlformats.org/officeDocument/2006/relationships/hyperlink" Target="https://facultycareers.gsu.edu/postings/5029" TargetMode="External"/><Relationship Id="rId68" Type="http://schemas.openxmlformats.org/officeDocument/2006/relationships/hyperlink" Target="https://www.higheredjobs.com/faculty/details.cfm?JobCode=179415581" TargetMode="External"/><Relationship Id="rId69" Type="http://schemas.openxmlformats.org/officeDocument/2006/relationships/hyperlink" Target="https://howard.wd1.myworkdayjobs.com/en-US/HU/job/Assistant-Professor_JR107320-1" TargetMode="External"/><Relationship Id="rId70" Type="http://schemas.openxmlformats.org/officeDocument/2006/relationships/hyperlink" Target="https://apply.interfolio.com/187586" TargetMode="External"/><Relationship Id="rId71" Type="http://schemas.openxmlformats.org/officeDocument/2006/relationships/hyperlink" Target="https://jobs.chronicle.com/job/38009688/ay27-adjunct-faculty-all-business-school-disciplines/" TargetMode="External"/><Relationship Id="rId72" Type="http://schemas.openxmlformats.org/officeDocument/2006/relationships/hyperlink" Target="https://careers.insidehighered.com/job/3560822/assistant-clinical-track-faculty-business-analytics/" TargetMode="External"/><Relationship Id="rId73" Type="http://schemas.openxmlformats.org/officeDocument/2006/relationships/hyperlink" Target="https://jobs.okstate.edu/jobs/instructor-of-professional-practice-22154-stillwater-oklahoma-united-states-payne-county?applicant_id=A71A9E4B-434B-4419-87FA-F03DD916D799&amp;ad_id=38769D6A-0B7C-44FE-85D3-CDC9826CD8E5" TargetMode="External"/><Relationship Id="rId74" Type="http://schemas.openxmlformats.org/officeDocument/2006/relationships/hyperlink" Target="https://oregonstate.wd501.myworkdayjobs.com/en-US/OSU_Careers_Site/job/Instructor-Pool---2026-2027--Marketing--Analytics-and-Design_JR0000390" TargetMode="External"/><Relationship Id="rId75" Type="http://schemas.openxmlformats.org/officeDocument/2006/relationships/hyperlink" Target="https://jobs.rowan.edu/" TargetMode="External"/><Relationship Id="rId76" Type="http://schemas.openxmlformats.org/officeDocument/2006/relationships/hyperlink" Target="https://jobs.rutgers.edu/postings/278711" TargetMode="External"/><Relationship Id="rId77" Type="http://schemas.openxmlformats.org/officeDocument/2006/relationships/hyperlink" Target="https://jobs.rutgers.edu/postings/279358" TargetMode="External"/><Relationship Id="rId78" Type="http://schemas.openxmlformats.org/officeDocument/2006/relationships/hyperlink" Target="https://jobs.rutgers.edu/postings/161959" TargetMode="External"/><Relationship Id="rId79" Type="http://schemas.openxmlformats.org/officeDocument/2006/relationships/hyperlink" Target="https://jobs.rutgers.edu/postings/271801" TargetMode="External"/><Relationship Id="rId80" Type="http://schemas.openxmlformats.org/officeDocument/2006/relationships/hyperlink" Target="https://inside.southernct.edu/human-resources/jobs/part-time-instructors-school-of-business" TargetMode="External"/><Relationship Id="rId81" Type="http://schemas.openxmlformats.org/officeDocument/2006/relationships/hyperlink" Target="https://www.ziprecruiter.com/Jobs/Business-Analytics/-in-Colorado-Springs,CO" TargetMode="External"/><Relationship Id="rId82" Type="http://schemas.openxmlformats.org/officeDocument/2006/relationships/hyperlink" Target="https://careers.uh.edu/jobs/professor-of-practice-decision-information-sciences-houston-texas-united-states-fce2c1fc-eb84-4ad7-af50-c6f6d93d7eb6" TargetMode="External"/><Relationship Id="rId83" Type="http://schemas.openxmlformats.org/officeDocument/2006/relationships/hyperlink" Target="https://ukjobs.uky.edu/postings/650748" TargetMode="External"/><Relationship Id="rId84" Type="http://schemas.openxmlformats.org/officeDocument/2006/relationships/hyperlink" Target="https://jobs.chronicle.com/job/37966075/adjunct-lecturer/" TargetMode="External"/><Relationship Id="rId85" Type="http://schemas.openxmlformats.org/officeDocument/2006/relationships/hyperlink" Target="https://careers.miami.edu/us/en/job/R100081474/MHBS-Assistant-Associate-Full-Professor" TargetMode="External"/><Relationship Id="rId86" Type="http://schemas.openxmlformats.org/officeDocument/2006/relationships/hyperlink" Target="https://jobs.chronicle.com/job/37973536/assistant-teaching-professor-ai-and-business/" TargetMode="External"/><Relationship Id="rId87" Type="http://schemas.openxmlformats.org/officeDocument/2006/relationships/hyperlink" Target="https://jobs.uncw.edu/postings/39244" TargetMode="External"/><Relationship Id="rId88" Type="http://schemas.openxmlformats.org/officeDocument/2006/relationships/hyperlink" Target="https://uscjobs.sc.edu/postings/214247" TargetMode="External"/><Relationship Id="rId89" Type="http://schemas.openxmlformats.org/officeDocument/2006/relationships/hyperlink" Target="https://uscjobs.sc.edu/postings/search" TargetMode="External"/><Relationship Id="rId90" Type="http://schemas.openxmlformats.org/officeDocument/2006/relationships/hyperlink" Target="https://jobs.chronicle.com/job/38022740/tenure-track-faculty-accounting-and-information-systems/" TargetMode="External"/><Relationship Id="rId91" Type="http://schemas.openxmlformats.org/officeDocument/2006/relationships/hyperlink" Target="https://www.astate.edu/college/business/faculty-staff/management-marketing/" TargetMode="External"/><Relationship Id="rId92" Type="http://schemas.openxmlformats.org/officeDocument/2006/relationships/hyperlink" Target="https://jobs.chronicle.com/job/38027766/instructor-of-applied-statistics-and-business-analytics/?TrackID=10" TargetMode="External"/><Relationship Id="rId93" Type="http://schemas.openxmlformats.org/officeDocument/2006/relationships/hyperlink" Target="https://careers.nmsu.edu/jobs/college-assistant-professor-remote-locations-new-mexico-united-states-e353bdda-98b4-480b-a801-57ceb8b5a932" TargetMode="External"/><Relationship Id="rId94" Type="http://schemas.openxmlformats.org/officeDocument/2006/relationships/hyperlink" Target="https://careers.nmsu.edu/jobs/college-assistant-professor-las-cruces-new-mexico-united-states-a2750562-96c8-46b8-a2a4-479016a7e235" TargetMode="External"/><Relationship Id="rId95" Type="http://schemas.openxmlformats.org/officeDocument/2006/relationships/hyperlink" Target="https://apply.interfolio.com/192153" TargetMode="External"/><Relationship Id="rId96" Type="http://schemas.openxmlformats.org/officeDocument/2006/relationships/hyperlink" Target="https://careers.insidehighered.com/job/3557474/lecturer-ii-management-information-systems/" TargetMode="External"/><Relationship Id="rId97" Type="http://schemas.openxmlformats.org/officeDocument/2006/relationships/hyperlink" Target="https://careers.sdsu.edu/en-us/job/559998/department-of-management-information-systems-assistant-professor-pool-information-systems-20272028" TargetMode="External"/><Relationship Id="rId98" Type="http://schemas.openxmlformats.org/officeDocument/2006/relationships/hyperlink" Target="https://careers.sdsu.edu/en-us/job/560000/department-of-management-information-systems-assistant-professor-pool-data-science-20272028" TargetMode="External"/><Relationship Id="rId99" Type="http://schemas.openxmlformats.org/officeDocument/2006/relationships/hyperlink" Target="https://csucareers.calstate.edu/mob/cw/en-us/job/556788/2627-ay-temporary-faculty-pool-lecturer-lecturer-in-business-law" TargetMode="External"/><Relationship Id="rId100" Type="http://schemas.openxmlformats.org/officeDocument/2006/relationships/hyperlink" Target="https://www.stonybrook.edu/commcms/faculty-jobs/positions/index.php" TargetMode="External"/><Relationship Id="rId101" Type="http://schemas.openxmlformats.org/officeDocument/2006/relationships/hyperlink" Target="https://jobs.chronicle.com/job/38049560/assistant-associate-full-professor-open-rank-department-of-information-systems/?TrackID=10" TargetMode="External"/><Relationship Id="rId102" Type="http://schemas.openxmlformats.org/officeDocument/2006/relationships/hyperlink" Target="https://www.jobs.virginia.gov/jobs/information-systems-faculty-vcu-main-campus-virginia-united-states" TargetMode="External"/><Relationship Id="rId103" Type="http://schemas.openxmlformats.org/officeDocument/2006/relationships/hyperlink" Target="https://jobs.chronicle.com/job/38020837/harvard-business-school-faculty-openings/" TargetMode="External"/><Relationship Id="rId104" Type="http://schemas.openxmlformats.org/officeDocument/2006/relationships/hyperlink" Target="https://www.bgsu.edu/business/faculty-and-staff/job-opportunities.html" TargetMode="External"/><Relationship Id="rId105" Type="http://schemas.openxmlformats.org/officeDocument/2006/relationships/hyperlink" Target="https://spartantalent.uncg.edu/postings/33841" TargetMode="External"/><Relationship Id="rId106" Type="http://schemas.openxmlformats.org/officeDocument/2006/relationships/hyperlink" Target="https://jobs.tcu.edu/jobs/instructor-instructor-ii-or-senior-instructor-of-analytics-statistics-tcu-main-campus-texas-united-states" TargetMode="External"/><Relationship Id="rId107" Type="http://schemas.openxmlformats.org/officeDocument/2006/relationships/hyperlink" Target="https://jobs.chronicle.com/job/38043006/assistant-professor-computer-information-systems-496945-/" TargetMode="External"/><Relationship Id="rId108" Type="http://schemas.openxmlformats.org/officeDocument/2006/relationships/hyperlink" Target="https://academiccareers.com/job/180278/assistant-or-associate-professor-ids-enterprise-ai-systems/" TargetMode="External"/><Relationship Id="rId109" Type="http://schemas.openxmlformats.org/officeDocument/2006/relationships/hyperlink" Target="https://jobs.ncsu.edu/postings/223346" TargetMode="External"/><Relationship Id="rId110" Type="http://schemas.openxmlformats.org/officeDocument/2006/relationships/hyperlink" Target="https://jobs.rutgers.edu/postings/280198" TargetMode="External"/><Relationship Id="rId111" Type="http://schemas.openxmlformats.org/officeDocument/2006/relationships/hyperlink" Target="https://careers.purdue.edu/job/Clinical-Assistant-Professor,-Quantitative-Methods/44130-en_US" TargetMode="External"/><Relationship Id="rId112"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hyperlink" Target="https://csucareers.calstate.edu/en-us/job/559681/assistant-professor-of-information-systems-2-open-positions" TargetMode="External"/><Relationship Id="rId2" Type="http://schemas.openxmlformats.org/officeDocument/2006/relationships/hyperlink" Target="https://listings.jobs.gmu.edu/jobs/tenure-track-assistant-professor-of-management-information-systems-fairfax-va-virginia-united-states-other" TargetMode="External"/><Relationship Id="rId3" Type="http://schemas.openxmlformats.org/officeDocument/2006/relationships/hyperlink" Target="https://hofstra.peopleadmin.com/postings/7620" TargetMode="External"/><Relationship Id="rId4" Type="http://schemas.openxmlformats.org/officeDocument/2006/relationships/hyperlink" Target="https://isu.wd1.myworkdayjobs.com/IowaStateJobs/job/Ames-IA/Professor-of-Information-Systems-and-Business-Analytics--ISBA-_R19605" TargetMode="External"/><Relationship Id="rId5" Type="http://schemas.openxmlformats.org/officeDocument/2006/relationships/hyperlink" Target="https://careers.hprod.onehcm.usg.edu/psc/careers/CAREERS/HRMS/c/HRS_HRAM_FL.HRS_CG_SEARCH_FL.GBL?Page=HRS_APP_JBPST_FL&amp;Action=U&amp;FOCUS=Applicant&amp;SiteId=43000&amp;JobOpeningId=300876&amp;PostingSeq=1" TargetMode="External"/><Relationship Id="rId6" Type="http://schemas.openxmlformats.org/officeDocument/2006/relationships/hyperlink" Target="https://jobs.auburn.edu/auburn-careers-home/jobs/10326?lang=en-us" TargetMode="External"/><Relationship Id="rId7" Type="http://schemas.openxmlformats.org/officeDocument/2006/relationships/hyperlink" Target="https://jobs.phdproject.org/jobs/610084371-open-rank-professor-in-business-analytics-and-information-systems-at-the-pennsylvania-state-university" TargetMode="External"/><Relationship Id="rId8" Type="http://schemas.openxmlformats.org/officeDocument/2006/relationships/hyperlink" Target="https://jobs.chronicle.com/job/38031418/open-rank-tenure-track-faculty-position-in-information-technology-management/" TargetMode="External"/><Relationship Id="rId9" Type="http://schemas.openxmlformats.org/officeDocument/2006/relationships/hyperlink" Target="https://jobs.apply.vt.edu/jobs/assistant-professor-blacksburg-virginia-united-states-420b915d-90c6-4f93-9894-8a0ba9845f36" TargetMode="External"/><Relationship Id="rId10" Type="http://schemas.openxmlformats.org/officeDocument/2006/relationships/hyperlink" Target="https://hr.myu.umn.edu/jobs/ext/375835" TargetMode="External"/><Relationship Id="rId11" Type="http://schemas.openxmlformats.org/officeDocument/2006/relationships/hyperlink" Target="https://careers.cpp.edu/po/en-us/job/558301/computer-information-systems-assistant-professor" TargetMode="External"/><Relationship Id="rId12" Type="http://schemas.openxmlformats.org/officeDocument/2006/relationships/hyperlink" Target="https://explore.jobs.ufl.edu/en-us/job/540807/ast-prof" TargetMode="External"/><Relationship Id="rId13" Type="http://schemas.openxmlformats.org/officeDocument/2006/relationships/hyperlink" Target="https://academiccareers.aisnet.org/jobs/positiontype/professor/" TargetMode="External"/><Relationship Id="rId14" Type="http://schemas.openxmlformats.org/officeDocument/2006/relationships/hyperlink" Target="https://jobs.chronicle.com/job/38042926/assistant-professor-of-information-systems/" TargetMode="External"/><Relationship Id="rId15" Type="http://schemas.openxmlformats.org/officeDocument/2006/relationships/hyperlink" Target="https://jobs.chronicle.com/job/38031551/assistant-professor-tenure-track-information-systems-and-information-management/" TargetMode="External"/><Relationship Id="rId16" Type="http://schemas.openxmlformats.org/officeDocument/2006/relationships/hyperlink" Target="https://recruit.apo.ucla.edu/JPF11233" TargetMode="External"/><Relationship Id="rId17" Type="http://schemas.openxmlformats.org/officeDocument/2006/relationships/hyperlink" Target="https://apply.interfolio.com/193341" TargetMode="External"/><Relationship Id="rId18" Type="http://schemas.openxmlformats.org/officeDocument/2006/relationships/hyperlink" Target="https://apply.interfolio.com/191728" TargetMode="External"/><Relationship Id="rId19" Type="http://schemas.openxmlformats.org/officeDocument/2006/relationships/hyperlink" Target="https://indiana.peopleadmin.com/postings/33755" TargetMode="External"/><Relationship Id="rId20" Type="http://schemas.openxmlformats.org/officeDocument/2006/relationships/hyperlink" Target="https://miamioh.wd5.myworkdayjobs.com/en-US/miamioh-faculty/job/Assistant-or-Associate-Professor---Information-Systems_JR104290" TargetMode="External"/><Relationship Id="rId21" Type="http://schemas.openxmlformats.org/officeDocument/2006/relationships/hyperlink" Target="https://jobs.okstate.edu/jobs/assistant-professor-management-science-information-systems-210018-stillwater-oklahoma-united-states" TargetMode="External"/><Relationship Id="rId22" Type="http://schemas.openxmlformats.org/officeDocument/2006/relationships/hyperlink" Target="https://jobs.sjsu.edu/en-us/job/562131/assistant-professor-school-of-information-systems-technology?1ApplicationSubSourceID=11266" TargetMode="External"/><Relationship Id="rId23" Type="http://schemas.openxmlformats.org/officeDocument/2006/relationships/hyperlink" Target="https://www.higheredjobs.com/faculty/details.cfm?JobCode=179579070" TargetMode="External"/><Relationship Id="rId24" Type="http://schemas.openxmlformats.org/officeDocument/2006/relationships/hyperlink" Target="https://www.ugajobsearch.com/postings/495784" TargetMode="External"/><Relationship Id="rId25" Type="http://schemas.openxmlformats.org/officeDocument/2006/relationships/hyperlink" Target="https://jobs.chronicle.com/job/38042306/open-rank-professor-of-management-information-systems/?TrackID=10" TargetMode="External"/><Relationship Id="rId26" Type="http://schemas.openxmlformats.org/officeDocument/2006/relationships/hyperlink" Target="https://www.utep.edu/business/about/hunt-insights/articles/2026/08-06-2026-new-faculty-fall-2026.html" TargetMode="External"/><Relationship Id="rId27" Type="http://schemas.openxmlformats.org/officeDocument/2006/relationships/hyperlink" Target="https://utulsa.edu/departments/accounting-business-information-systems/" TargetMode="External"/><Relationship Id="rId28" Type="http://schemas.openxmlformats.org/officeDocument/2006/relationships/hyperlink" Target="https://academiccareers.com/job/173340/assistant-professor-of-information-systems/" TargetMode="External"/><Relationship Id="rId29" Type="http://schemas.openxmlformats.org/officeDocument/2006/relationships/hyperlink" Target="https://jobs.uiowa.edu/faculty/view/76016" TargetMode="External"/><Relationship Id="rId30" Type="http://schemas.openxmlformats.org/officeDocument/2006/relationships/hyperlink" Target="https://apply.interfolio.com/187644" TargetMode="External"/><Relationship Id="rId31" Type="http://schemas.openxmlformats.org/officeDocument/2006/relationships/hyperlink" Target="https://www.gsb.stanford.edu/jobs/faculty-positions/operations-information-technology" TargetMode="External"/><Relationship Id="rId32" Type="http://schemas.openxmlformats.org/officeDocument/2006/relationships/hyperlink" Target="https://jobs.chronicle.com/job/38034183/assistant-teaching-professor-teaching-track-information-systems-and-information-management/?TrackID=10" TargetMode="External"/><Relationship Id="rId33" Type="http://schemas.openxmlformats.org/officeDocument/2006/relationships/hyperlink" Target="https://careers.purdue.edu/job/Assistant-Professor-of-Management-in-Management-Information-Systems/38552-en_US" TargetMode="External"/><Relationship Id="rId34" Type="http://schemas.openxmlformats.org/officeDocument/2006/relationships/hyperlink" Target="https://careers.purdue.edu/job/AssociateFull-Professor%2C-MIS/44026-en_US" TargetMode="External"/><Relationship Id="rId35" Type="http://schemas.openxmlformats.org/officeDocument/2006/relationships/hyperlink" Target="https://www.jobs.virginia.gov/jobs/data-analytics-and-decision-science-faculty-open-rank-tt-t-charlottesville-virginia-united-states" TargetMode="External"/><Relationship Id="rId36" Type="http://schemas.openxmlformats.org/officeDocument/2006/relationships/hyperlink" Target="https://miamioh.wd5.myworkdayjobs.com/en-US/miamioh-faculty/job/Farmer-School-of-Business/Assistant-Professor_JR104289" TargetMode="External"/><Relationship Id="rId37" Type="http://schemas.openxmlformats.org/officeDocument/2006/relationships/hyperlink" Target="https://apply.interfolio.com/189675" TargetMode="External"/><Relationship Id="rId38" Type="http://schemas.openxmlformats.org/officeDocument/2006/relationships/hyperlink" Target="https://binghamton.interviewexchange.com/jobofferdetails.jsp?JOBID=205076" TargetMode="External"/><Relationship Id="rId39" Type="http://schemas.openxmlformats.org/officeDocument/2006/relationships/hyperlink" Target="https://www.udiversity.com/posting/7276573" TargetMode="External"/><Relationship Id="rId40" Type="http://schemas.openxmlformats.org/officeDocument/2006/relationships/hyperlink" Target="https://jobs.chronicle.com/job/38039108/lecturer-or-professor-of-practice/?TrackID=10" TargetMode="External"/><Relationship Id="rId41" Type="http://schemas.openxmlformats.org/officeDocument/2006/relationships/hyperlink" Target="https://www.higheredjobs.com/faculty/details.cfm?JobCode=179538136" TargetMode="External"/><Relationship Id="rId42" Type="http://schemas.openxmlformats.org/officeDocument/2006/relationships/hyperlink" Target="https://apply.interfolio.com/191584" TargetMode="External"/><Relationship Id="rId43" Type="http://schemas.openxmlformats.org/officeDocument/2006/relationships/hyperlink" Target="https://apol-recruit.ucsd.edu/JPF04466" TargetMode="External"/><Relationship Id="rId44" Type="http://schemas.openxmlformats.org/officeDocument/2006/relationships/hyperlink" Target="https://www.tealhq.com/job/adjunct-faculty-department-of-computer-information-systems-open-pool_cf1394da-9120-4e71-8fc7-5e098746cc26" TargetMode="External"/><Relationship Id="rId45" Type="http://schemas.openxmlformats.org/officeDocument/2006/relationships/hyperlink" Target="https://jobs.utdallas.edu/postings/32958" TargetMode="External"/><Relationship Id="rId46" Type="http://schemas.openxmlformats.org/officeDocument/2006/relationships/hyperlink" Target="https://recruit.ucsc.edu/JPF02072" TargetMode="External"/><Relationship Id="rId47" Type="http://schemas.openxmlformats.org/officeDocument/2006/relationships/hyperlink" Target="https://recruit.ap.uci.edu/JPF10123" TargetMode="External"/><Relationship Id="rId48" Type="http://schemas.openxmlformats.org/officeDocument/2006/relationships/hyperlink" Target="https://jobs.hr.txstate.edu/postings/57741" TargetMode="External"/><Relationship Id="rId49" Type="http://schemas.openxmlformats.org/officeDocument/2006/relationships/hyperlink" Target="https://www.higheredjobs.com/faculty/details.cfm?JobCode=178958802&amp;Title=Part+Time+Faculty+School+of+Accountancy+and+MIS" TargetMode="External"/><Relationship Id="rId50" Type="http://schemas.openxmlformats.org/officeDocument/2006/relationships/hyperlink" Target="https://recruit.ucdavis.edu/JPF07773" TargetMode="External"/><Relationship Id="rId51" Type="http://schemas.openxmlformats.org/officeDocument/2006/relationships/hyperlink" Target="https://facultycareers.gsu.edu/postings/7383" TargetMode="External"/><Relationship Id="rId52" Type="http://schemas.openxmlformats.org/officeDocument/2006/relationships/hyperlink" Target="https://careers.insidehighered.com/job/3548384/ccb-tenure-track-assistant-professor-in-management-information-systems-mis-530515/" TargetMode="External"/><Relationship Id="rId53" Type="http://schemas.openxmlformats.org/officeDocument/2006/relationships/hyperlink" Target="https://recruit.ucsc.edu/JPF02091" TargetMode="External"/><Relationship Id="rId54" Type="http://schemas.openxmlformats.org/officeDocument/2006/relationships/hyperlink" Target="https://american.wd1.myworkdayjobs.com/en-US/AU/job/KSB-Adjunct-Faculty---Information-Technology---Analytics--Open-Countinuous-_R1201" TargetMode="External"/><Relationship Id="rId55" Type="http://schemas.openxmlformats.org/officeDocument/2006/relationships/hyperlink" Target="https://jobs.utdallas.edu/postings/32668" TargetMode="External"/><Relationship Id="rId56" Type="http://schemas.openxmlformats.org/officeDocument/2006/relationships/hyperlink" Target="https://jobs.chronicle.com/job/38039773/2026-27-professional-track-faculty-irom/" TargetMode="External"/><Relationship Id="rId57" Type="http://schemas.openxmlformats.org/officeDocument/2006/relationships/hyperlink" Target="https://www.sorce.jobs/jobs/information-systems-open-rank-tenure-track-or-college-faculty-acu-j1_dNadE8uIFSnXonoZpzLAelS3rzKqz2sjwpBl_DwxOmev1iGrFQ" TargetMode="External"/><Relationship Id="rId58" Type="http://schemas.openxmlformats.org/officeDocument/2006/relationships/hyperlink" Target="https://jobs.phdproject.org/jobs/584887018-professorial-lecturer-at-american-university-kogod-school-of-business" TargetMode="External"/><Relationship Id="rId59" Type="http://schemas.openxmlformats.org/officeDocument/2006/relationships/hyperlink" Target="https://jobs.chronicle.com/job/38034229/lecturer/" TargetMode="External"/><Relationship Id="rId60" Type="http://schemas.openxmlformats.org/officeDocument/2006/relationships/hyperlink" Target="https://jobs.chronicle.com/job/38027818/lowe-s-tech-distinguished-professor-and-program-director-in-cybersecurity/" TargetMode="External"/><Relationship Id="rId61" Type="http://schemas.openxmlformats.org/officeDocument/2006/relationships/hyperlink" Target="https://jobs.chronicle.com/job/38043081/assistant-professor-of-information-systems-and-operations-management/" TargetMode="External"/><Relationship Id="rId62" Type="http://schemas.openxmlformats.org/officeDocument/2006/relationships/hyperlink" Target="https://binghamton.interviewexchange.com/jobofferdetails.jsp;jsessionid=D34EC62516DE87F3128274B8DE558D6E?JOBID=198532" TargetMode="External"/><Relationship Id="rId63" Type="http://schemas.openxmlformats.org/officeDocument/2006/relationships/hyperlink" Target="https://csucareers.calstate.edu/en-us/job/559035/information-systems-and-decision-sciences-parttime-lecturer-pool" TargetMode="External"/><Relationship Id="rId64" Type="http://schemas.openxmlformats.org/officeDocument/2006/relationships/hyperlink" Target="https://www.csulb.edu/college-of-business/office-of-the-dean/job-opportunities" TargetMode="External"/><Relationship Id="rId65" Type="http://schemas.openxmlformats.org/officeDocument/2006/relationships/hyperlink" Target="https://csucareers.calstate.edu/en-us/job/555366/202627-ay-lecturer-pool-information-systems" TargetMode="External"/><Relationship Id="rId66" Type="http://schemas.openxmlformats.org/officeDocument/2006/relationships/hyperlink" Target="https://jobs.chronicle.com/job/38045010/assistant-professor-of-management-science-tenure-track-fall-2027/" TargetMode="External"/><Relationship Id="rId67" Type="http://schemas.openxmlformats.org/officeDocument/2006/relationships/hyperlink" Target="https://hrjobs.csuohio.edu/postings/19956" TargetMode="External"/><Relationship Id="rId68" Type="http://schemas.openxmlformats.org/officeDocument/2006/relationships/hyperlink" Target="https://www.higheredjobs.com/faculty/details.cfm?JobCode=179383349" TargetMode="External"/><Relationship Id="rId69" Type="http://schemas.openxmlformats.org/officeDocument/2006/relationships/hyperlink" Target="https://home.hamptonu.edu/hr/2026/05/29/management-information-systems-mis-professor-department-of-business-administration-and-accounting/" TargetMode="External"/><Relationship Id="rId70" Type="http://schemas.openxmlformats.org/officeDocument/2006/relationships/hyperlink" Target="https://jobs.chronicle.com/job/38045022/assistant-associate-professor-business-information-systems-and-analytics/" TargetMode="External"/><Relationship Id="rId71" Type="http://schemas.openxmlformats.org/officeDocument/2006/relationships/hyperlink" Target="https://www.ndsu.edu/business/our-team/join-our-team/adjunct-instructors" TargetMode="External"/><Relationship Id="rId72" Type="http://schemas.openxmlformats.org/officeDocument/2006/relationships/hyperlink" Target="https://www.tealhq.com/job/instructor-pool-accounting-finance-and-information-systems_7ea1a8d9ac5dd3d434dd54e18a9ddb6d6655f" TargetMode="External"/><Relationship Id="rId73" Type="http://schemas.openxmlformats.org/officeDocument/2006/relationships/hyperlink" Target="https://jobs.hrc.pdx.edu/postings/49706" TargetMode="External"/><Relationship Id="rId74" Type="http://schemas.openxmlformats.org/officeDocument/2006/relationships/hyperlink" Target="https://careers.purdue.edu/job/Clinical-Assistant-Professor,-MIS/41739-en_US/" TargetMode="External"/><Relationship Id="rId75" Type="http://schemas.openxmlformats.org/officeDocument/2006/relationships/hyperlink" Target="https://jobs.rutgers.edu/postings/282025" TargetMode="External"/><Relationship Id="rId76" Type="http://schemas.openxmlformats.org/officeDocument/2006/relationships/hyperlink" Target="https://www3.fox.temple.edu/discover/2026/08/18/7-new-researchers-join-fox-school-faculty/" TargetMode="External"/><Relationship Id="rId77" Type="http://schemas.openxmlformats.org/officeDocument/2006/relationships/hyperlink" Target="https://www.fox.temple.edu/faculty-research/open-faculty-positions" TargetMode="External"/><Relationship Id="rId78" Type="http://schemas.openxmlformats.org/officeDocument/2006/relationships/hyperlink" Target="https://jobs.tcu.edu/jobs/information-systems-faculty-adjunct-pool-tcu-main-campus-texas-united-states-4e0b7d2f-ca20-46aa-a3d6-d4430778a4fe" TargetMode="External"/><Relationship Id="rId79" Type="http://schemas.openxmlformats.org/officeDocument/2006/relationships/hyperlink" Target="https://jobs.tsu.edu/postings/11719" TargetMode="External"/><Relationship Id="rId80" Type="http://schemas.openxmlformats.org/officeDocument/2006/relationships/hyperlink" Target="https://jobs.world.edu/jobs/lecturer-senior-lecturer-2/" TargetMode="External"/><Relationship Id="rId81" Type="http://schemas.openxmlformats.org/officeDocument/2006/relationships/hyperlink" Target="https://tulane-ibqejb.fa.ocs.oraclecloud.com/hcmUI/CandidateExperience/en/sites/CX_1001/job/1738" TargetMode="External"/><Relationship Id="rId82" Type="http://schemas.openxmlformats.org/officeDocument/2006/relationships/hyperlink" Target="https://recruit.ap.uci.edu/JPF09384" TargetMode="External"/><Relationship Id="rId83" Type="http://schemas.openxmlformats.org/officeDocument/2006/relationships/hyperlink" Target="https://careers.uh.edu/jobs/adjunct-faculty-decision-information-sciences-houston-texas-united-states" TargetMode="External"/><Relationship Id="rId84" Type="http://schemas.openxmlformats.org/officeDocument/2006/relationships/hyperlink" Target="https://www.indeed.com/q-bioinformatics-lecturers-l-louisville,-ky-jobs.html" TargetMode="External"/><Relationship Id="rId85" Type="http://schemas.openxmlformats.org/officeDocument/2006/relationships/hyperlink" Target="https://careers.insidehighered.com/job/3473108/associate-lecturer-college-of-management/?TrackID=11" TargetMode="External"/><Relationship Id="rId86" Type="http://schemas.openxmlformats.org/officeDocument/2006/relationships/hyperlink" Target="https://jobs.chronicle.com/job/38045946/assistant-professor-management-information-systems/" TargetMode="External"/><Relationship Id="rId87" Type="http://schemas.openxmlformats.org/officeDocument/2006/relationships/hyperlink" Target="https://careers.untsystem.edu/jobs/adjunct-instructor-information-technology-decision-sciences-denton-texas-united-states-b68aaa16-7188-4215-bc57-b4d00f89954a" TargetMode="External"/><Relationship Id="rId88" Type="http://schemas.openxmlformats.org/officeDocument/2006/relationships/hyperlink" Target="https://www.highered360.com/jobs/JobDetail.cfm?JobID=179212463" TargetMode="External"/><Relationship Id="rId89" Type="http://schemas.openxmlformats.org/officeDocument/2006/relationships/hyperlink" Target="https://usccareers.usc.edu/job/los-angeles/adjunct-professor-of-data-sciences-and-operations/1209/93285006512" TargetMode="External"/><Relationship Id="rId90" Type="http://schemas.openxmlformats.org/officeDocument/2006/relationships/hyperlink" Target="https://www.uta.edu/academics/schools-colleges/business/departments/information-systems-and-operations-management" TargetMode="External"/><Relationship Id="rId91" Type="http://schemas.openxmlformats.org/officeDocument/2006/relationships/hyperlink" Target="https://www.disabledperson.com/jobs/75493209-tenure-track-faculty-management-information-systems" TargetMode="External"/><Relationship Id="rId92" Type="http://schemas.openxmlformats.org/officeDocument/2006/relationships/hyperlink" Target="https://wpi.wd5.myworkdayjobs.com/en-US/WPI_External_Career_Site/job/Assistant-Professor-of-Information-Systems-Block-Chain_R0003454" TargetMode="External"/><Relationship Id="rId93" Type="http://schemas.openxmlformats.org/officeDocument/2006/relationships/hyperlink" Target="https://careers.hprod.onehcm.usg.edu/psc/careers/CAREERS/HRMS/c/HRS_HRAM_FL.HRS_CG_SEARCH_FL.GBL?Page=HRS_APP_JBPST_FL&amp;Action=U&amp;FOCUS=Applicant&amp;SiteId=12000&amp;JobOpeningId=290816&amp;PostingSeq=1" TargetMode="External"/><Relationship Id="rId94" Type="http://schemas.openxmlformats.org/officeDocument/2006/relationships/hyperlink" Target="https://www.bu.edu/questrom/faculty/adjunct-recruitment/" TargetMode="External"/><Relationship Id="rId95" Type="http://schemas.openxmlformats.org/officeDocument/2006/relationships/hyperlink" Target="https://www.higheredjobs.com/faculty/details.cfm?JobCode=179257832" TargetMode="External"/><Relationship Id="rId96" Type="http://schemas.openxmlformats.org/officeDocument/2006/relationships/hyperlink" Target="https://business.gwu.edu/about/departments/decision-sciences" TargetMode="External"/><Relationship Id="rId97" Type="http://schemas.openxmlformats.org/officeDocument/2006/relationships/hyperlink" Target="https://facultycareers.gsu.edu/postings/5029" TargetMode="External"/><Relationship Id="rId98" Type="http://schemas.openxmlformats.org/officeDocument/2006/relationships/hyperlink" Target="https://www.higheredjobs.com/faculty/details.cfm?JobCode=179415581" TargetMode="External"/><Relationship Id="rId99" Type="http://schemas.openxmlformats.org/officeDocument/2006/relationships/hyperlink" Target="https://howard.wd1.myworkdayjobs.com/en-US/HU/job/Assistant-Professor_JR107320-1" TargetMode="External"/><Relationship Id="rId100" Type="http://schemas.openxmlformats.org/officeDocument/2006/relationships/hyperlink" Target="https://apply.interfolio.com/187586" TargetMode="External"/><Relationship Id="rId101" Type="http://schemas.openxmlformats.org/officeDocument/2006/relationships/hyperlink" Target="https://jobs.chronicle.com/job/38009688/ay27-adjunct-faculty-all-business-school-disciplines/" TargetMode="External"/><Relationship Id="rId102" Type="http://schemas.openxmlformats.org/officeDocument/2006/relationships/hyperlink" Target="https://careers.insidehighered.com/job/3560822/assistant-clinical-track-faculty-business-analytics/" TargetMode="External"/><Relationship Id="rId103" Type="http://schemas.openxmlformats.org/officeDocument/2006/relationships/hyperlink" Target="https://jobs.okstate.edu/jobs/instructor-of-professional-practice-22154-stillwater-oklahoma-united-states-payne-county?applicant_id=A71A9E4B-434B-4419-87FA-F03DD916D799&amp;ad_id=38769D6A-0B7C-44FE-85D3-CDC9826CD8E5" TargetMode="External"/><Relationship Id="rId104" Type="http://schemas.openxmlformats.org/officeDocument/2006/relationships/hyperlink" Target="https://oregonstate.wd501.myworkdayjobs.com/en-US/OSU_Careers_Site/job/Instructor-Pool---2026-2027--Marketing--Analytics-and-Design_JR0000390" TargetMode="External"/><Relationship Id="rId105" Type="http://schemas.openxmlformats.org/officeDocument/2006/relationships/hyperlink" Target="https://jobs.rowan.edu/" TargetMode="External"/><Relationship Id="rId106" Type="http://schemas.openxmlformats.org/officeDocument/2006/relationships/hyperlink" Target="https://jobs.rutgers.edu/postings/278711" TargetMode="External"/><Relationship Id="rId107" Type="http://schemas.openxmlformats.org/officeDocument/2006/relationships/hyperlink" Target="https://jobs.rutgers.edu/postings/279358" TargetMode="External"/><Relationship Id="rId108" Type="http://schemas.openxmlformats.org/officeDocument/2006/relationships/hyperlink" Target="https://jobs.rutgers.edu/postings/161959" TargetMode="External"/><Relationship Id="rId109" Type="http://schemas.openxmlformats.org/officeDocument/2006/relationships/hyperlink" Target="https://jobs.rutgers.edu/postings/271801" TargetMode="External"/><Relationship Id="rId110" Type="http://schemas.openxmlformats.org/officeDocument/2006/relationships/hyperlink" Target="https://inside.southernct.edu/human-resources/jobs/part-time-instructors-school-of-business" TargetMode="External"/><Relationship Id="rId111" Type="http://schemas.openxmlformats.org/officeDocument/2006/relationships/hyperlink" Target="https://www.ziprecruiter.com/Jobs/Business-Analytics/-in-Colorado-Springs,CO" TargetMode="External"/><Relationship Id="rId112" Type="http://schemas.openxmlformats.org/officeDocument/2006/relationships/hyperlink" Target="https://careers.uh.edu/jobs/professor-of-practice-decision-information-sciences-houston-texas-united-states-fce2c1fc-eb84-4ad7-af50-c6f6d93d7eb6" TargetMode="External"/><Relationship Id="rId113" Type="http://schemas.openxmlformats.org/officeDocument/2006/relationships/hyperlink" Target="https://ukjobs.uky.edu/postings/650748" TargetMode="External"/><Relationship Id="rId114" Type="http://schemas.openxmlformats.org/officeDocument/2006/relationships/hyperlink" Target="https://jobs.chronicle.com/job/37966075/adjunct-lecturer/" TargetMode="External"/><Relationship Id="rId115" Type="http://schemas.openxmlformats.org/officeDocument/2006/relationships/hyperlink" Target="https://careers.miami.edu/us/en/job/R100081474/MHBS-Assistant-Associate-Full-Professor" TargetMode="External"/><Relationship Id="rId116" Type="http://schemas.openxmlformats.org/officeDocument/2006/relationships/hyperlink" Target="https://jobs.chronicle.com/job/37973536/assistant-teaching-professor-ai-and-business/" TargetMode="External"/><Relationship Id="rId117" Type="http://schemas.openxmlformats.org/officeDocument/2006/relationships/hyperlink" Target="https://jobs.uncw.edu/postings/39244" TargetMode="External"/><Relationship Id="rId118" Type="http://schemas.openxmlformats.org/officeDocument/2006/relationships/hyperlink" Target="https://uscjobs.sc.edu/postings/214247" TargetMode="External"/><Relationship Id="rId119" Type="http://schemas.openxmlformats.org/officeDocument/2006/relationships/hyperlink" Target="https://uscjobs.sc.edu/postings/search" TargetMode="External"/><Relationship Id="rId120" Type="http://schemas.openxmlformats.org/officeDocument/2006/relationships/hyperlink" Target="https://jobs.chronicle.com/job/38022740/tenure-track-faculty-accounting-and-information-systems/" TargetMode="External"/><Relationship Id="rId121" Type="http://schemas.openxmlformats.org/officeDocument/2006/relationships/hyperlink" Target="https://www.astate.edu/college/business/faculty-staff/management-marketing/" TargetMode="External"/><Relationship Id="rId122" Type="http://schemas.openxmlformats.org/officeDocument/2006/relationships/hyperlink" Target="https://jobs.chronicle.com/job/38027766/instructor-of-applied-statistics-and-business-analytics/?TrackID=10" TargetMode="External"/><Relationship Id="rId123" Type="http://schemas.openxmlformats.org/officeDocument/2006/relationships/hyperlink" Target="https://careers.nmsu.edu/jobs/college-assistant-professor-remote-locations-new-mexico-united-states-e353bdda-98b4-480b-a801-57ceb8b5a932" TargetMode="External"/><Relationship Id="rId124" Type="http://schemas.openxmlformats.org/officeDocument/2006/relationships/hyperlink" Target="https://careers.nmsu.edu/jobs/college-assistant-professor-las-cruces-new-mexico-united-states-a2750562-96c8-46b8-a2a4-479016a7e235" TargetMode="External"/><Relationship Id="rId125" Type="http://schemas.openxmlformats.org/officeDocument/2006/relationships/hyperlink" Target="https://apply.interfolio.com/192153" TargetMode="External"/><Relationship Id="rId126" Type="http://schemas.openxmlformats.org/officeDocument/2006/relationships/hyperlink" Target="https://careers.insidehighered.com/job/3557474/lecturer-ii-management-information-systems/" TargetMode="External"/><Relationship Id="rId127" Type="http://schemas.openxmlformats.org/officeDocument/2006/relationships/hyperlink" Target="https://careers.sdsu.edu/en-us/job/559998/department-of-management-information-systems-assistant-professor-pool-information-systems-20272028" TargetMode="External"/><Relationship Id="rId128" Type="http://schemas.openxmlformats.org/officeDocument/2006/relationships/hyperlink" Target="https://careers.sdsu.edu/en-us/job/560000/department-of-management-information-systems-assistant-professor-pool-data-science-20272028" TargetMode="External"/><Relationship Id="rId129" Type="http://schemas.openxmlformats.org/officeDocument/2006/relationships/hyperlink" Target="https://csucareers.calstate.edu/mob/cw/en-us/job/556788/2627-ay-temporary-faculty-pool-lecturer-lecturer-in-business-law" TargetMode="External"/><Relationship Id="rId130" Type="http://schemas.openxmlformats.org/officeDocument/2006/relationships/hyperlink" Target="https://www.stonybrook.edu/commcms/faculty-jobs/positions/index.php" TargetMode="External"/><Relationship Id="rId131" Type="http://schemas.openxmlformats.org/officeDocument/2006/relationships/hyperlink" Target="https://jobs.chronicle.com/job/38049560/assistant-associate-full-professor-open-rank-department-of-information-systems/?TrackID=10" TargetMode="External"/><Relationship Id="rId132" Type="http://schemas.openxmlformats.org/officeDocument/2006/relationships/hyperlink" Target="https://www.jobs.virginia.gov/jobs/information-systems-faculty-vcu-main-campus-virginia-united-states" TargetMode="External"/><Relationship Id="rId133" Type="http://schemas.openxmlformats.org/officeDocument/2006/relationships/hyperlink" Target="https://jobs.chronicle.com/job/38020837/harvard-business-school-faculty-openings/" TargetMode="External"/><Relationship Id="rId134" Type="http://schemas.openxmlformats.org/officeDocument/2006/relationships/hyperlink" Target="https://www.bgsu.edu/business/faculty-and-staff/job-opportunities.html" TargetMode="External"/><Relationship Id="rId135" Type="http://schemas.openxmlformats.org/officeDocument/2006/relationships/hyperlink" Target="https://spartantalent.uncg.edu/postings/33841" TargetMode="External"/><Relationship Id="rId136" Type="http://schemas.openxmlformats.org/officeDocument/2006/relationships/hyperlink" Target="https://jobs.tcu.edu/jobs/instructor-instructor-ii-or-senior-instructor-of-analytics-statistics-tcu-main-campus-texas-united-states" TargetMode="External"/><Relationship Id="rId137" Type="http://schemas.openxmlformats.org/officeDocument/2006/relationships/hyperlink" Target="https://jobs.chronicle.com/job/38043006/assistant-professor-computer-information-systems-496945-/" TargetMode="External"/><Relationship Id="rId138" Type="http://schemas.openxmlformats.org/officeDocument/2006/relationships/hyperlink" Target="https://academiccareers.com/job/180278/assistant-or-associate-professor-ids-enterprise-ai-systems/" TargetMode="External"/><Relationship Id="rId139" Type="http://schemas.openxmlformats.org/officeDocument/2006/relationships/hyperlink" Target="https://jobs.ncsu.edu/postings/223346" TargetMode="External"/><Relationship Id="rId140" Type="http://schemas.openxmlformats.org/officeDocument/2006/relationships/hyperlink" Target="https://jobs.rutgers.edu/postings/280198" TargetMode="External"/><Relationship Id="rId141" Type="http://schemas.openxmlformats.org/officeDocument/2006/relationships/hyperlink" Target="https://careers.purdue.edu/job/Clinical-Assistant-Professor,-Quantitative-Methods/44130-en_US" TargetMode="External"/><Relationship Id="rId142" Type="http://schemas.openxmlformats.org/officeDocument/2006/relationships/hyperlink" Target="https://www.jobs.virginia.gov/jobs/adjunct-instructor-information-systems-school-of-business-vcu-main-campus-virginia-united-states" TargetMode="External"/><Relationship Id="rId143" Type="http://schemas.openxmlformats.org/officeDocument/2006/relationships/hyperlink" Target="https://www.ohiouniversityjobs.com/postings/56719" TargetMode="External"/><Relationship Id="rId144" Type="http://schemas.openxmlformats.org/officeDocument/2006/relationships/hyperlink" Target="https://aprecruit.berkeley.edu/JPF05340" TargetMode="External"/><Relationship Id="rId145" Type="http://schemas.openxmlformats.org/officeDocument/2006/relationships/hyperlink" Target="https://careers.pageuppeople.com/873/sa/en-us/job/553828/202627-ay-lecturer-pool-management-information-systems-business-analytics" TargetMode="External"/><Relationship Id="rId146" Type="http://schemas.openxmlformats.org/officeDocument/2006/relationships/hyperlink" Target="https://tallo.com/talent/job/education/economics-professor/ga/atlanta/professor-of-practice-0238a939" TargetMode="External"/><Relationship Id="rId147" Type="http://schemas.openxmlformats.org/officeDocument/2006/relationships/hyperlink" Target="https://indiana.peopleadmin.com/postings/34575" TargetMode="External"/><Relationship Id="rId148" Type="http://schemas.openxmlformats.org/officeDocument/2006/relationships/hyperlink" Target="https://www.higheredjobs.com/faculty/details.cfm?JobCode=179294558" TargetMode="External"/><Relationship Id="rId149" Type="http://schemas.openxmlformats.org/officeDocument/2006/relationships/hyperlink" Target="https://careers.utrgv.edu/postings/50193" TargetMode="External"/><Relationship Id="rId150" Type="http://schemas.openxmlformats.org/officeDocument/2006/relationships/hyperlink" Target="https://careers.ua.edu/jobs/renewable-contract-instructor-in-applied-statistics-527547-tuscaloosa-alabama-united-states" TargetMode="External"/><Relationship Id="rId15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hyperlink" Target="https://www.jobs.virginia.gov/jobs/adjunct-instructor-information-systems-school-of-business-vcu-main-campus-virginia-united-states" TargetMode="External"/><Relationship Id="rId2" Type="http://schemas.openxmlformats.org/officeDocument/2006/relationships/hyperlink" Target="https://www.ohiouniversityjobs.com/postings/56719" TargetMode="External"/><Relationship Id="rId3" Type="http://schemas.openxmlformats.org/officeDocument/2006/relationships/hyperlink" Target="https://aprecruit.berkeley.edu/JPF05340" TargetMode="External"/><Relationship Id="rId4" Type="http://schemas.openxmlformats.org/officeDocument/2006/relationships/hyperlink" Target="https://careers.pageuppeople.com/873/sa/en-us/job/553828/202627-ay-lecturer-pool-management-information-systems-business-analytics" TargetMode="External"/><Relationship Id="rId5" Type="http://schemas.openxmlformats.org/officeDocument/2006/relationships/hyperlink" Target="https://tallo.com/talent/job/education/economics-professor/ga/atlanta/professor-of-practice-0238a939" TargetMode="External"/><Relationship Id="rId6" Type="http://schemas.openxmlformats.org/officeDocument/2006/relationships/hyperlink" Target="https://indiana.peopleadmin.com/postings/34575" TargetMode="External"/><Relationship Id="rId7" Type="http://schemas.openxmlformats.org/officeDocument/2006/relationships/hyperlink" Target="https://www.higheredjobs.com/faculty/details.cfm?JobCode=179294558" TargetMode="External"/><Relationship Id="rId8" Type="http://schemas.openxmlformats.org/officeDocument/2006/relationships/hyperlink" Target="https://careers.utrgv.edu/postings/50193" TargetMode="External"/><Relationship Id="rId9" Type="http://schemas.openxmlformats.org/officeDocument/2006/relationships/hyperlink" Target="https://careers.ua.edu/jobs/renewable-contract-instructor-in-applied-statistics-527547-tuscaloosa-alabama-united-states" TargetMode="External"/><Relationship Id="rId10"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drawing" Target="../drawings/drawing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14"/>
    <col collapsed="false" customWidth="true" hidden="false" outlineLevel="0" max="3" min="3" style="0" width="90"/>
  </cols>
  <sheetData>
    <row r="1" customFormat="false" ht="17.35" hidden="false" customHeight="false" outlineLevel="0" collapsed="false">
      <c r="A1" s="1" t="s">
        <v>0</v>
      </c>
      <c r="B1" s="2"/>
      <c r="C1" s="2"/>
    </row>
    <row r="2" customFormat="false" ht="43.5" hidden="false" customHeight="true" outlineLevel="0" collapsed="false">
      <c r="A2" s="3" t="s">
        <v>1</v>
      </c>
      <c r="B2" s="3"/>
      <c r="C2" s="3"/>
    </row>
    <row r="3" customFormat="false" ht="15" hidden="false" customHeight="false" outlineLevel="0" collapsed="false">
      <c r="A3" s="2"/>
      <c r="B3" s="2"/>
      <c r="C3" s="2"/>
    </row>
    <row r="4" customFormat="false" ht="15" hidden="false" customHeight="false" outlineLevel="0" collapsed="false">
      <c r="A4" s="4" t="s">
        <v>2</v>
      </c>
      <c r="B4" s="2"/>
      <c r="C4" s="2"/>
    </row>
    <row r="5" customFormat="false" ht="15" hidden="false" customHeight="false" outlineLevel="0" collapsed="false">
      <c r="A5" s="5" t="s">
        <v>3</v>
      </c>
      <c r="B5" s="6" t="n">
        <f aca="false">COUNTA('All Fit 4-5 Combined'!E2:E1000)</f>
        <v>150</v>
      </c>
      <c r="C5" s="2"/>
    </row>
    <row r="6" customFormat="false" ht="15" hidden="false" customHeight="false" outlineLevel="0" collapsed="false">
      <c r="A6" s="5" t="s">
        <v>4</v>
      </c>
      <c r="B6" s="6" t="n">
        <f aca="false">COUNTIF('All Fit 4-5 Combined'!B2:B1000,5)</f>
        <v>95</v>
      </c>
      <c r="C6" s="2"/>
    </row>
    <row r="7" customFormat="false" ht="15" hidden="false" customHeight="false" outlineLevel="0" collapsed="false">
      <c r="A7" s="5" t="s">
        <v>5</v>
      </c>
      <c r="B7" s="6" t="n">
        <f aca="false">COUNTIF('All Fit 4-5 Combined'!B2:B1000,4)</f>
        <v>55</v>
      </c>
      <c r="C7" s="2"/>
    </row>
    <row r="8" customFormat="false" ht="15" hidden="false" customHeight="false" outlineLevel="0" collapsed="false">
      <c r="A8" s="5" t="s">
        <v>6</v>
      </c>
      <c r="B8" s="6" t="n">
        <f aca="false">COUNTIF('All Fit 4-5 Combined'!A2:A1000,"DONE*")</f>
        <v>30</v>
      </c>
      <c r="C8" s="2"/>
    </row>
    <row r="9" customFormat="false" ht="15" hidden="false" customHeight="false" outlineLevel="0" collapsed="false">
      <c r="A9" s="5" t="s">
        <v>7</v>
      </c>
      <c r="B9" s="6" t="n">
        <f aca="false">COUNTIF('All Fit 4-5 Combined'!A2:A1000,"URGENT*")</f>
        <v>4</v>
      </c>
      <c r="C9" s="2"/>
    </row>
    <row r="10" customFormat="false" ht="15" hidden="false" customHeight="false" outlineLevel="0" collapsed="false">
      <c r="A10" s="5" t="s">
        <v>8</v>
      </c>
      <c r="B10" s="6" t="n">
        <f aca="false">COUNTIF('All Fit 4-5 Combined'!A2:A1000,"APPLY NOW*")</f>
        <v>86</v>
      </c>
      <c r="C10" s="2"/>
    </row>
    <row r="11" customFormat="false" ht="15" hidden="false" customHeight="false" outlineLevel="0" collapsed="false">
      <c r="A11" s="5" t="s">
        <v>9</v>
      </c>
      <c r="B11" s="6" t="n">
        <f aca="false">COUNTIF('All Fit 4-5 Combined'!A2:A1000,"DEADLINE PASSED*")</f>
        <v>1</v>
      </c>
      <c r="C11" s="2"/>
    </row>
    <row r="12" customFormat="false" ht="15" hidden="false" customHeight="false" outlineLevel="0" collapsed="false">
      <c r="A12" s="5" t="s">
        <v>10</v>
      </c>
      <c r="B12" s="6" t="n">
        <f aca="false">COUNTIF('All Fit 4-5 Combined'!A2:A1000,"UPCOMING*")</f>
        <v>20</v>
      </c>
      <c r="C12" s="2"/>
    </row>
    <row r="13" customFormat="false" ht="15" hidden="false" customHeight="false" outlineLevel="0" collapsed="false">
      <c r="A13" s="5" t="s">
        <v>11</v>
      </c>
      <c r="B13" s="6" t="n">
        <f aca="false">COUNTIF('All Fit 4-5 Combined'!A2:A1000,"NOT ELIGIBLE*")</f>
        <v>8</v>
      </c>
      <c r="C13" s="2"/>
    </row>
    <row r="14" customFormat="false" ht="15" hidden="false" customHeight="false" outlineLevel="0" collapsed="false">
      <c r="A14" s="5" t="s">
        <v>12</v>
      </c>
      <c r="B14" s="6" t="n">
        <f aca="false">COUNTIF('All Fit 4-5 Combined'!A2:A1000,"CLOSED*")</f>
        <v>1</v>
      </c>
      <c r="C14" s="2"/>
    </row>
    <row r="15" customFormat="false" ht="15" hidden="false" customHeight="false" outlineLevel="0" collapsed="false">
      <c r="A15" s="5" t="s">
        <v>13</v>
      </c>
      <c r="B15" s="6" t="n">
        <f aca="false">COUNTIF('All Fit 4-5 Combined'!C2:C1000,"Research tenure-track")</f>
        <v>74</v>
      </c>
      <c r="C15" s="2"/>
    </row>
    <row r="16" customFormat="false" ht="15" hidden="false" customHeight="false" outlineLevel="0" collapsed="false">
      <c r="A16" s="5" t="s">
        <v>14</v>
      </c>
      <c r="B16" s="6" t="n">
        <f aca="false">COUNTIF('All Fit 4-5 Combined'!C2:C1000,"Teaching tenure-track")</f>
        <v>0</v>
      </c>
      <c r="C16" s="2"/>
    </row>
    <row r="17" customFormat="false" ht="15" hidden="false" customHeight="false" outlineLevel="0" collapsed="false">
      <c r="A17" s="5" t="s">
        <v>15</v>
      </c>
      <c r="B17" s="6" t="n">
        <f aca="false">COUNTIF('All Fit 4-5 Combined'!D2:D1000,"Non-tenure")</f>
        <v>76</v>
      </c>
      <c r="C17" s="2"/>
    </row>
    <row r="18" customFormat="false" ht="15" hidden="false" customHeight="false" outlineLevel="0" collapsed="false">
      <c r="A18" s="5" t="s">
        <v>16</v>
      </c>
      <c r="B18" s="6" t="n">
        <f aca="false">COUNTIF('All Fit 4-5 Combined'!K2:K1000,"Yes*")</f>
        <v>3</v>
      </c>
      <c r="C18" s="2"/>
    </row>
    <row r="19" customFormat="false" ht="15" hidden="false" customHeight="false" outlineLevel="0" collapsed="false">
      <c r="A19" s="5" t="s">
        <v>17</v>
      </c>
      <c r="B19" s="6" t="n">
        <f aca="false">COUNTIF('All Fit 4-5 Combined'!K2:K1000,"No - stated")</f>
        <v>7</v>
      </c>
      <c r="C19" s="2"/>
    </row>
    <row r="20" customFormat="false" ht="15" hidden="false" customHeight="false" outlineLevel="0" collapsed="false">
      <c r="A20" s="5" t="s">
        <v>18</v>
      </c>
      <c r="B20" s="6" t="n">
        <f aca="false">COUNTIF('All Fit 4-5 Combined'!K2:K1000,"Not stated")</f>
        <v>109</v>
      </c>
      <c r="C20" s="2"/>
    </row>
    <row r="21" customFormat="false" ht="15" hidden="false" customHeight="false" outlineLevel="0" collapsed="false">
      <c r="A21" s="5" t="s">
        <v>19</v>
      </c>
      <c r="B21" s="6" t="n">
        <f aca="false">COUNTIF('All Fit 4-5 Combined'!K2:K1000,"Uncertain*")</f>
        <v>1</v>
      </c>
      <c r="C21" s="2"/>
    </row>
    <row r="22" customFormat="false" ht="15" hidden="false" customHeight="false" outlineLevel="0" collapsed="false">
      <c r="A22" s="5" t="s">
        <v>20</v>
      </c>
      <c r="B22" s="6" t="n">
        <f aca="false">COUNTIF('All Fit 4-5 Combined'!K2:K1000,"Not re-checked*")</f>
        <v>30</v>
      </c>
      <c r="C22" s="2"/>
    </row>
    <row r="23" customFormat="false" ht="15" hidden="false" customHeight="false" outlineLevel="0" collapsed="false">
      <c r="A23" s="5" t="s">
        <v>21</v>
      </c>
      <c r="B23" s="6" t="n">
        <f aca="false">COUNTIF('All Fit 4-5 Combined'!M2:M1000,"TIMING*")</f>
        <v>42</v>
      </c>
      <c r="C23" s="2"/>
    </row>
    <row r="24" customFormat="false" ht="15" hidden="false" customHeight="false" outlineLevel="0" collapsed="false">
      <c r="A24" s="2"/>
      <c r="B24" s="2"/>
      <c r="C24" s="2"/>
    </row>
    <row r="25" customFormat="false" ht="15" hidden="false" customHeight="false" outlineLevel="0" collapsed="false">
      <c r="A25" s="4" t="s">
        <v>22</v>
      </c>
      <c r="B25" s="2"/>
      <c r="C25" s="2"/>
    </row>
    <row r="26" customFormat="false" ht="55.5" hidden="false" customHeight="true" outlineLevel="0" collapsed="false">
      <c r="A26" s="7" t="s">
        <v>23</v>
      </c>
      <c r="B26" s="8" t="s">
        <v>24</v>
      </c>
      <c r="C26" s="8"/>
    </row>
    <row r="27" customFormat="false" ht="30" hidden="false" customHeight="true" outlineLevel="0" collapsed="false">
      <c r="A27" s="7" t="s">
        <v>25</v>
      </c>
      <c r="B27" s="8" t="s">
        <v>26</v>
      </c>
      <c r="C27" s="8"/>
    </row>
    <row r="28" customFormat="false" ht="30" hidden="false" customHeight="true" outlineLevel="0" collapsed="false">
      <c r="A28" s="7" t="s">
        <v>27</v>
      </c>
      <c r="B28" s="8" t="s">
        <v>28</v>
      </c>
      <c r="C28" s="8"/>
    </row>
    <row r="29" customFormat="false" ht="30" hidden="false" customHeight="true" outlineLevel="0" collapsed="false">
      <c r="A29" s="7" t="s">
        <v>29</v>
      </c>
      <c r="B29" s="8" t="s">
        <v>30</v>
      </c>
      <c r="C29" s="8"/>
    </row>
    <row r="30" customFormat="false" ht="42" hidden="false" customHeight="true" outlineLevel="0" collapsed="false">
      <c r="A30" s="7" t="s">
        <v>31</v>
      </c>
      <c r="B30" s="8" t="s">
        <v>32</v>
      </c>
      <c r="C30" s="8"/>
    </row>
    <row r="31" customFormat="false" ht="69.75" hidden="false" customHeight="true" outlineLevel="0" collapsed="false">
      <c r="A31" s="7" t="s">
        <v>33</v>
      </c>
      <c r="B31" s="8" t="s">
        <v>34</v>
      </c>
      <c r="C31" s="8"/>
    </row>
    <row r="32" customFormat="false" ht="55.5" hidden="false" customHeight="true" outlineLevel="0" collapsed="false">
      <c r="A32" s="7" t="s">
        <v>35</v>
      </c>
      <c r="B32" s="8" t="s">
        <v>36</v>
      </c>
      <c r="C32" s="8"/>
    </row>
    <row r="33" customFormat="false" ht="30" hidden="false" customHeight="true" outlineLevel="0" collapsed="false">
      <c r="A33" s="7" t="s">
        <v>37</v>
      </c>
      <c r="B33" s="8" t="s">
        <v>38</v>
      </c>
      <c r="C33" s="8"/>
    </row>
    <row r="34" customFormat="false" ht="42" hidden="false" customHeight="true" outlineLevel="0" collapsed="false">
      <c r="A34" s="7" t="s">
        <v>39</v>
      </c>
      <c r="B34" s="8" t="s">
        <v>40</v>
      </c>
      <c r="C34" s="8"/>
    </row>
    <row r="35" customFormat="false" ht="69.75" hidden="false" customHeight="true" outlineLevel="0" collapsed="false">
      <c r="A35" s="7" t="s">
        <v>41</v>
      </c>
      <c r="B35" s="8" t="s">
        <v>42</v>
      </c>
      <c r="C35" s="8"/>
    </row>
    <row r="36" customFormat="false" ht="55.5" hidden="false" customHeight="true" outlineLevel="0" collapsed="false">
      <c r="A36" s="7" t="s">
        <v>43</v>
      </c>
      <c r="B36" s="8" t="s">
        <v>44</v>
      </c>
      <c r="C36" s="8"/>
    </row>
    <row r="37" customFormat="false" ht="84" hidden="false" customHeight="true" outlineLevel="0" collapsed="false">
      <c r="A37" s="7" t="s">
        <v>45</v>
      </c>
      <c r="B37" s="8" t="s">
        <v>46</v>
      </c>
      <c r="C37" s="8"/>
    </row>
    <row r="38" customFormat="false" ht="42" hidden="false" customHeight="true" outlineLevel="0" collapsed="false">
      <c r="A38" s="7" t="s">
        <v>47</v>
      </c>
      <c r="B38" s="8" t="s">
        <v>48</v>
      </c>
      <c r="C38" s="8"/>
    </row>
  </sheetData>
  <mergeCells count="14">
    <mergeCell ref="A2:C2"/>
    <mergeCell ref="B26:C26"/>
    <mergeCell ref="B27:C27"/>
    <mergeCell ref="B28:C28"/>
    <mergeCell ref="B29:C29"/>
    <mergeCell ref="B30:C30"/>
    <mergeCell ref="B31:C31"/>
    <mergeCell ref="B32:C32"/>
    <mergeCell ref="B33:C33"/>
    <mergeCell ref="B34:C34"/>
    <mergeCell ref="B35:C35"/>
    <mergeCell ref="B36:C36"/>
    <mergeCell ref="B37:C37"/>
    <mergeCell ref="B38:C3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false"/>
  </sheetPr>
  <dimension ref="A1:AG1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6" ySplit="1" topLeftCell="G2" activePane="bottomRight" state="frozen"/>
      <selection pane="topLeft" activeCell="A1" activeCellId="0" sqref="A1"/>
      <selection pane="topRight" activeCell="G1" activeCellId="0" sqref="G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6"/>
    <col collapsed="false" customWidth="true" hidden="false" outlineLevel="0" max="3" min="3" style="0" width="22"/>
    <col collapsed="false" customWidth="true" hidden="false" outlineLevel="0" max="4" min="4" style="0" width="11"/>
    <col collapsed="false" customWidth="true" hidden="false" outlineLevel="0" max="5" min="5" style="0" width="22"/>
    <col collapsed="false" customWidth="true" hidden="false" outlineLevel="0" max="6" min="6" style="0" width="36"/>
    <col collapsed="false" customWidth="true" hidden="false" outlineLevel="0" max="7" min="7" style="0" width="11"/>
    <col collapsed="false" customWidth="true" hidden="false" outlineLevel="0" max="9" min="8" style="0" width="16"/>
    <col collapsed="false" customWidth="true" hidden="false" outlineLevel="0" max="10" min="10" style="0" width="30"/>
    <col collapsed="false" customWidth="true" hidden="false" outlineLevel="0" max="11" min="11" style="0" width="14"/>
    <col collapsed="false" customWidth="true" hidden="false" outlineLevel="0" max="12" min="12" style="0" width="13"/>
    <col collapsed="false" customWidth="true" hidden="false" outlineLevel="0" max="13" min="13" style="0" width="26"/>
    <col collapsed="false" customWidth="true" hidden="false" outlineLevel="0" max="14" min="14" style="0" width="30"/>
    <col collapsed="false" customWidth="true" hidden="false" outlineLevel="0" max="15" min="15" style="0" width="35"/>
    <col collapsed="false" customWidth="true" hidden="false" outlineLevel="0" max="16" min="16" style="0" width="11"/>
    <col collapsed="false" customWidth="true" hidden="false" outlineLevel="0" max="18" min="17" style="0" width="22"/>
    <col collapsed="false" customWidth="true" hidden="false" outlineLevel="0" max="19" min="19" style="0" width="16"/>
    <col collapsed="false" customWidth="true" hidden="false" outlineLevel="0" max="21" min="20" style="0" width="6"/>
    <col collapsed="false" customWidth="true" hidden="false" outlineLevel="0" max="22" min="22" style="0" width="11"/>
    <col collapsed="false" customWidth="true" hidden="false" outlineLevel="0" max="23" min="23" style="0" width="45"/>
    <col collapsed="false" customWidth="true" hidden="false" outlineLevel="0" max="24" min="24" style="0" width="14"/>
    <col collapsed="false" customWidth="true" hidden="false" outlineLevel="0" max="25" min="25" style="0" width="40"/>
    <col collapsed="false" customWidth="true" hidden="false" outlineLevel="0" max="26" min="26" style="0" width="22"/>
    <col collapsed="false" customWidth="true" hidden="false" outlineLevel="0" max="29" min="27" style="0" width="40"/>
    <col collapsed="false" customWidth="true" hidden="false" outlineLevel="0" max="30" min="30" style="0" width="45"/>
    <col collapsed="false" customWidth="true" hidden="false" outlineLevel="0" max="31" min="31" style="0" width="18"/>
    <col collapsed="false" customWidth="true" hidden="false" outlineLevel="0" max="32" min="32" style="0" width="30"/>
    <col collapsed="false" customWidth="true" hidden="false" outlineLevel="0" max="33" min="33" style="0" width="40"/>
  </cols>
  <sheetData>
    <row r="1" customFormat="false" ht="42" hidden="false" customHeight="true" outlineLevel="0" collapsed="false">
      <c r="A1" s="9" t="s">
        <v>49</v>
      </c>
      <c r="B1" s="9" t="s">
        <v>50</v>
      </c>
      <c r="C1" s="9" t="s">
        <v>31</v>
      </c>
      <c r="D1" s="9" t="s">
        <v>51</v>
      </c>
      <c r="E1" s="9" t="s">
        <v>52</v>
      </c>
      <c r="F1" s="9" t="s">
        <v>53</v>
      </c>
      <c r="G1" s="9" t="s">
        <v>54</v>
      </c>
      <c r="H1" s="9" t="s">
        <v>55</v>
      </c>
      <c r="I1" s="9" t="s">
        <v>56</v>
      </c>
      <c r="J1" s="9" t="s">
        <v>57</v>
      </c>
      <c r="K1" s="9" t="s">
        <v>58</v>
      </c>
      <c r="L1" s="9" t="s">
        <v>59</v>
      </c>
      <c r="M1" s="9" t="s">
        <v>35</v>
      </c>
      <c r="N1" s="9" t="s">
        <v>39</v>
      </c>
      <c r="O1" s="9" t="s">
        <v>60</v>
      </c>
      <c r="P1" s="9" t="s">
        <v>61</v>
      </c>
      <c r="Q1" s="9" t="s">
        <v>62</v>
      </c>
      <c r="R1" s="9" t="s">
        <v>63</v>
      </c>
      <c r="S1" s="9" t="s">
        <v>64</v>
      </c>
      <c r="T1" s="9" t="s">
        <v>65</v>
      </c>
      <c r="U1" s="9" t="s">
        <v>66</v>
      </c>
      <c r="V1" s="9" t="s">
        <v>67</v>
      </c>
      <c r="W1" s="9" t="s">
        <v>68</v>
      </c>
      <c r="X1" s="9" t="s">
        <v>69</v>
      </c>
      <c r="Y1" s="9" t="s">
        <v>70</v>
      </c>
      <c r="Z1" s="9" t="s">
        <v>71</v>
      </c>
      <c r="AA1" s="9" t="s">
        <v>72</v>
      </c>
      <c r="AB1" s="9" t="s">
        <v>73</v>
      </c>
      <c r="AC1" s="9" t="s">
        <v>74</v>
      </c>
      <c r="AD1" s="9" t="s">
        <v>75</v>
      </c>
      <c r="AE1" s="9" t="s">
        <v>76</v>
      </c>
      <c r="AF1" s="9" t="s">
        <v>77</v>
      </c>
      <c r="AG1" s="9" t="s">
        <v>78</v>
      </c>
    </row>
    <row r="2" customFormat="false" ht="60" hidden="false" customHeight="true" outlineLevel="0" collapsed="false">
      <c r="A2" s="10" t="s">
        <v>79</v>
      </c>
      <c r="B2" s="11" t="n">
        <v>4</v>
      </c>
      <c r="C2" s="12" t="s">
        <v>13</v>
      </c>
      <c r="D2" s="11" t="s">
        <v>80</v>
      </c>
      <c r="E2" s="12" t="s">
        <v>81</v>
      </c>
      <c r="F2" s="12" t="s">
        <v>82</v>
      </c>
      <c r="G2" s="13" t="n">
        <v>46310</v>
      </c>
      <c r="H2" s="12" t="s">
        <v>83</v>
      </c>
      <c r="I2" s="12" t="s">
        <v>84</v>
      </c>
      <c r="J2" s="14" t="s">
        <v>85</v>
      </c>
      <c r="K2" s="11" t="s">
        <v>86</v>
      </c>
      <c r="L2" s="11" t="s">
        <v>87</v>
      </c>
      <c r="M2" s="12" t="s">
        <v>88</v>
      </c>
      <c r="N2" s="12" t="s">
        <v>89</v>
      </c>
      <c r="O2" s="15" t="s">
        <v>90</v>
      </c>
      <c r="P2" s="11" t="s">
        <v>91</v>
      </c>
      <c r="Q2" s="12" t="s">
        <v>92</v>
      </c>
      <c r="R2" s="12" t="s">
        <v>93</v>
      </c>
      <c r="S2" s="12" t="s">
        <v>94</v>
      </c>
      <c r="T2" s="11" t="s">
        <v>95</v>
      </c>
      <c r="U2" s="11" t="s">
        <v>96</v>
      </c>
      <c r="V2" s="11" t="s">
        <v>97</v>
      </c>
      <c r="W2" s="12" t="s">
        <v>98</v>
      </c>
      <c r="X2" s="11" t="s">
        <v>99</v>
      </c>
      <c r="Y2" s="12" t="s">
        <v>100</v>
      </c>
      <c r="Z2" s="12" t="s">
        <v>101</v>
      </c>
      <c r="AA2" s="12" t="s">
        <v>102</v>
      </c>
      <c r="AB2" s="12" t="s">
        <v>103</v>
      </c>
      <c r="AC2" s="12" t="s">
        <v>104</v>
      </c>
      <c r="AD2" s="12" t="s">
        <v>105</v>
      </c>
      <c r="AE2" s="12" t="s">
        <v>106</v>
      </c>
      <c r="AF2" s="12" t="s">
        <v>107</v>
      </c>
      <c r="AG2" s="12" t="s">
        <v>108</v>
      </c>
    </row>
    <row r="3" customFormat="false" ht="60" hidden="false" customHeight="true" outlineLevel="0" collapsed="false">
      <c r="A3" s="10" t="s">
        <v>79</v>
      </c>
      <c r="B3" s="11" t="n">
        <v>4</v>
      </c>
      <c r="C3" s="12" t="s">
        <v>109</v>
      </c>
      <c r="D3" s="11" t="s">
        <v>110</v>
      </c>
      <c r="E3" s="12" t="s">
        <v>111</v>
      </c>
      <c r="F3" s="12" t="s">
        <v>112</v>
      </c>
      <c r="G3" s="13" t="n">
        <v>46310</v>
      </c>
      <c r="H3" s="12" t="s">
        <v>83</v>
      </c>
      <c r="I3" s="12" t="s">
        <v>84</v>
      </c>
      <c r="J3" s="14" t="s">
        <v>113</v>
      </c>
      <c r="K3" s="11" t="s">
        <v>86</v>
      </c>
      <c r="L3" s="11" t="s">
        <v>114</v>
      </c>
      <c r="M3" s="12" t="s">
        <v>88</v>
      </c>
      <c r="N3" s="12" t="s">
        <v>115</v>
      </c>
      <c r="O3" s="15" t="s">
        <v>116</v>
      </c>
      <c r="P3" s="11" t="s">
        <v>91</v>
      </c>
      <c r="Q3" s="12" t="s">
        <v>117</v>
      </c>
      <c r="R3" s="12" t="s">
        <v>118</v>
      </c>
      <c r="S3" s="12" t="s">
        <v>119</v>
      </c>
      <c r="T3" s="11" t="s">
        <v>95</v>
      </c>
      <c r="U3" s="11" t="s">
        <v>120</v>
      </c>
      <c r="V3" s="11" t="s">
        <v>121</v>
      </c>
      <c r="W3" s="12" t="s">
        <v>122</v>
      </c>
      <c r="X3" s="11" t="s">
        <v>99</v>
      </c>
      <c r="Y3" s="12" t="s">
        <v>123</v>
      </c>
      <c r="Z3" s="12" t="s">
        <v>101</v>
      </c>
      <c r="AA3" s="12" t="s">
        <v>102</v>
      </c>
      <c r="AB3" s="12" t="s">
        <v>124</v>
      </c>
      <c r="AC3" s="12" t="s">
        <v>125</v>
      </c>
      <c r="AD3" s="12" t="s">
        <v>126</v>
      </c>
      <c r="AE3" s="12" t="s">
        <v>127</v>
      </c>
      <c r="AF3" s="12" t="s">
        <v>128</v>
      </c>
      <c r="AG3" s="12" t="s">
        <v>129</v>
      </c>
    </row>
    <row r="4" customFormat="false" ht="60" hidden="false" customHeight="true" outlineLevel="0" collapsed="false">
      <c r="A4" s="10" t="s">
        <v>130</v>
      </c>
      <c r="B4" s="16" t="n">
        <v>5</v>
      </c>
      <c r="C4" s="12" t="s">
        <v>13</v>
      </c>
      <c r="D4" s="11" t="s">
        <v>80</v>
      </c>
      <c r="E4" s="12" t="s">
        <v>131</v>
      </c>
      <c r="F4" s="12" t="s">
        <v>132</v>
      </c>
      <c r="G4" s="13" t="n">
        <v>46312</v>
      </c>
      <c r="H4" s="12" t="s">
        <v>133</v>
      </c>
      <c r="I4" s="12" t="s">
        <v>134</v>
      </c>
      <c r="J4" s="14" t="s">
        <v>85</v>
      </c>
      <c r="K4" s="11" t="s">
        <v>86</v>
      </c>
      <c r="L4" s="11" t="s">
        <v>87</v>
      </c>
      <c r="M4" s="12" t="s">
        <v>88</v>
      </c>
      <c r="N4" s="12" t="s">
        <v>89</v>
      </c>
      <c r="O4" s="15" t="s">
        <v>135</v>
      </c>
      <c r="P4" s="11" t="s">
        <v>136</v>
      </c>
      <c r="Q4" s="12" t="s">
        <v>137</v>
      </c>
      <c r="R4" s="12" t="s">
        <v>138</v>
      </c>
      <c r="S4" s="12" t="s">
        <v>94</v>
      </c>
      <c r="T4" s="11" t="s">
        <v>95</v>
      </c>
      <c r="U4" s="11" t="s">
        <v>139</v>
      </c>
      <c r="V4" s="11" t="s">
        <v>97</v>
      </c>
      <c r="W4" s="12" t="s">
        <v>140</v>
      </c>
      <c r="X4" s="11" t="s">
        <v>141</v>
      </c>
      <c r="Y4" s="12" t="s">
        <v>142</v>
      </c>
      <c r="Z4" s="12" t="s">
        <v>101</v>
      </c>
      <c r="AA4" s="12" t="s">
        <v>102</v>
      </c>
      <c r="AB4" s="12" t="s">
        <v>143</v>
      </c>
      <c r="AC4" s="12" t="s">
        <v>144</v>
      </c>
      <c r="AD4" s="12" t="s">
        <v>145</v>
      </c>
      <c r="AE4" s="12" t="s">
        <v>106</v>
      </c>
      <c r="AF4" s="12" t="s">
        <v>146</v>
      </c>
      <c r="AG4" s="12" t="s">
        <v>147</v>
      </c>
    </row>
    <row r="5" customFormat="false" ht="60" hidden="false" customHeight="true" outlineLevel="0" collapsed="false">
      <c r="A5" s="10" t="s">
        <v>79</v>
      </c>
      <c r="B5" s="16" t="n">
        <v>5</v>
      </c>
      <c r="C5" s="12" t="s">
        <v>13</v>
      </c>
      <c r="D5" s="11" t="s">
        <v>80</v>
      </c>
      <c r="E5" s="12" t="s">
        <v>131</v>
      </c>
      <c r="F5" s="12" t="s">
        <v>148</v>
      </c>
      <c r="G5" s="13" t="n">
        <v>46312</v>
      </c>
      <c r="H5" s="12" t="s">
        <v>83</v>
      </c>
      <c r="I5" s="12" t="s">
        <v>149</v>
      </c>
      <c r="J5" s="14" t="s">
        <v>85</v>
      </c>
      <c r="K5" s="11" t="s">
        <v>86</v>
      </c>
      <c r="L5" s="11" t="s">
        <v>87</v>
      </c>
      <c r="M5" s="12" t="s">
        <v>88</v>
      </c>
      <c r="N5" s="12" t="s">
        <v>89</v>
      </c>
      <c r="O5" s="15" t="s">
        <v>150</v>
      </c>
      <c r="P5" s="11" t="s">
        <v>136</v>
      </c>
      <c r="Q5" s="12" t="s">
        <v>151</v>
      </c>
      <c r="R5" s="12" t="s">
        <v>138</v>
      </c>
      <c r="S5" s="12" t="s">
        <v>152</v>
      </c>
      <c r="T5" s="11" t="s">
        <v>95</v>
      </c>
      <c r="U5" s="11" t="s">
        <v>139</v>
      </c>
      <c r="V5" s="11" t="s">
        <v>97</v>
      </c>
      <c r="W5" s="12" t="s">
        <v>153</v>
      </c>
      <c r="X5" s="11" t="s">
        <v>154</v>
      </c>
      <c r="Y5" s="12" t="s">
        <v>155</v>
      </c>
      <c r="Z5" s="12" t="s">
        <v>101</v>
      </c>
      <c r="AA5" s="12" t="s">
        <v>102</v>
      </c>
      <c r="AB5" s="12" t="s">
        <v>156</v>
      </c>
      <c r="AC5" s="12" t="s">
        <v>157</v>
      </c>
      <c r="AD5" s="12" t="s">
        <v>158</v>
      </c>
      <c r="AE5" s="12" t="s">
        <v>106</v>
      </c>
      <c r="AF5" s="12" t="s">
        <v>159</v>
      </c>
      <c r="AG5" s="12" t="s">
        <v>160</v>
      </c>
    </row>
    <row r="6" customFormat="false" ht="60" hidden="false" customHeight="true" outlineLevel="0" collapsed="false">
      <c r="A6" s="17" t="s">
        <v>161</v>
      </c>
      <c r="B6" s="11" t="n">
        <v>4</v>
      </c>
      <c r="C6" s="12" t="s">
        <v>13</v>
      </c>
      <c r="D6" s="11" t="s">
        <v>80</v>
      </c>
      <c r="E6" s="12" t="s">
        <v>162</v>
      </c>
      <c r="F6" s="12" t="s">
        <v>163</v>
      </c>
      <c r="G6" s="13" t="n">
        <v>46262</v>
      </c>
      <c r="H6" s="12" t="s">
        <v>133</v>
      </c>
      <c r="I6" s="12" t="s">
        <v>134</v>
      </c>
      <c r="J6" s="14" t="s">
        <v>85</v>
      </c>
      <c r="K6" s="11" t="s">
        <v>86</v>
      </c>
      <c r="L6" s="11" t="s">
        <v>87</v>
      </c>
      <c r="M6" s="12" t="s">
        <v>88</v>
      </c>
      <c r="N6" s="12" t="s">
        <v>89</v>
      </c>
      <c r="O6" s="15" t="s">
        <v>164</v>
      </c>
      <c r="P6" s="11" t="s">
        <v>136</v>
      </c>
      <c r="Q6" s="12" t="s">
        <v>165</v>
      </c>
      <c r="R6" s="12" t="s">
        <v>166</v>
      </c>
      <c r="S6" s="12" t="s">
        <v>167</v>
      </c>
      <c r="T6" s="11" t="s">
        <v>95</v>
      </c>
      <c r="U6" s="11" t="s">
        <v>168</v>
      </c>
      <c r="V6" s="11" t="s">
        <v>97</v>
      </c>
      <c r="W6" s="12" t="s">
        <v>169</v>
      </c>
      <c r="X6" s="11" t="s">
        <v>141</v>
      </c>
      <c r="Y6" s="12" t="s">
        <v>170</v>
      </c>
      <c r="Z6" s="12" t="s">
        <v>101</v>
      </c>
      <c r="AA6" s="12" t="s">
        <v>102</v>
      </c>
      <c r="AB6" s="12" t="s">
        <v>171</v>
      </c>
      <c r="AC6" s="12" t="s">
        <v>172</v>
      </c>
      <c r="AD6" s="12" t="s">
        <v>173</v>
      </c>
      <c r="AE6" s="12" t="s">
        <v>106</v>
      </c>
      <c r="AF6" s="12" t="s">
        <v>174</v>
      </c>
      <c r="AG6" s="12" t="s">
        <v>175</v>
      </c>
    </row>
    <row r="7" customFormat="false" ht="60" hidden="false" customHeight="true" outlineLevel="0" collapsed="false">
      <c r="A7" s="17" t="s">
        <v>161</v>
      </c>
      <c r="B7" s="16" t="n">
        <v>5</v>
      </c>
      <c r="C7" s="12" t="s">
        <v>13</v>
      </c>
      <c r="D7" s="11" t="s">
        <v>80</v>
      </c>
      <c r="E7" s="12" t="s">
        <v>176</v>
      </c>
      <c r="F7" s="12" t="s">
        <v>177</v>
      </c>
      <c r="G7" s="13" t="n">
        <v>46266</v>
      </c>
      <c r="H7" s="12" t="s">
        <v>133</v>
      </c>
      <c r="I7" s="12" t="s">
        <v>134</v>
      </c>
      <c r="J7" s="14" t="s">
        <v>85</v>
      </c>
      <c r="K7" s="11" t="s">
        <v>86</v>
      </c>
      <c r="L7" s="11" t="s">
        <v>87</v>
      </c>
      <c r="M7" s="12" t="s">
        <v>88</v>
      </c>
      <c r="N7" s="12" t="s">
        <v>178</v>
      </c>
      <c r="O7" s="15" t="s">
        <v>179</v>
      </c>
      <c r="P7" s="11" t="s">
        <v>136</v>
      </c>
      <c r="Q7" s="12" t="s">
        <v>180</v>
      </c>
      <c r="R7" s="12" t="s">
        <v>181</v>
      </c>
      <c r="S7" s="12" t="s">
        <v>182</v>
      </c>
      <c r="T7" s="11" t="s">
        <v>183</v>
      </c>
      <c r="U7" s="11" t="s">
        <v>184</v>
      </c>
      <c r="V7" s="11" t="s">
        <v>97</v>
      </c>
      <c r="W7" s="12" t="s">
        <v>185</v>
      </c>
      <c r="X7" s="11" t="s">
        <v>141</v>
      </c>
      <c r="Y7" s="12" t="s">
        <v>186</v>
      </c>
      <c r="Z7" s="12" t="s">
        <v>101</v>
      </c>
      <c r="AA7" s="12" t="s">
        <v>102</v>
      </c>
      <c r="AB7" s="12" t="s">
        <v>187</v>
      </c>
      <c r="AC7" s="12" t="s">
        <v>188</v>
      </c>
      <c r="AD7" s="12" t="s">
        <v>189</v>
      </c>
      <c r="AE7" s="12" t="s">
        <v>106</v>
      </c>
      <c r="AF7" s="12" t="s">
        <v>190</v>
      </c>
      <c r="AG7" s="12" t="s">
        <v>191</v>
      </c>
    </row>
    <row r="8" customFormat="false" ht="60" hidden="false" customHeight="true" outlineLevel="0" collapsed="false">
      <c r="A8" s="17" t="s">
        <v>161</v>
      </c>
      <c r="B8" s="16" t="n">
        <v>5</v>
      </c>
      <c r="C8" s="12" t="s">
        <v>13</v>
      </c>
      <c r="D8" s="11" t="s">
        <v>80</v>
      </c>
      <c r="E8" s="12" t="s">
        <v>192</v>
      </c>
      <c r="F8" s="12" t="s">
        <v>193</v>
      </c>
      <c r="G8" s="13" t="n">
        <v>46275</v>
      </c>
      <c r="H8" s="12" t="s">
        <v>133</v>
      </c>
      <c r="I8" s="12" t="s">
        <v>134</v>
      </c>
      <c r="J8" s="14" t="s">
        <v>85</v>
      </c>
      <c r="K8" s="11" t="s">
        <v>86</v>
      </c>
      <c r="L8" s="11" t="s">
        <v>87</v>
      </c>
      <c r="M8" s="12" t="s">
        <v>88</v>
      </c>
      <c r="N8" s="12" t="s">
        <v>89</v>
      </c>
      <c r="O8" s="15" t="s">
        <v>194</v>
      </c>
      <c r="P8" s="11" t="s">
        <v>136</v>
      </c>
      <c r="Q8" s="12" t="s">
        <v>195</v>
      </c>
      <c r="R8" s="12" t="s">
        <v>196</v>
      </c>
      <c r="S8" s="12" t="s">
        <v>197</v>
      </c>
      <c r="T8" s="11" t="s">
        <v>95</v>
      </c>
      <c r="U8" s="11" t="s">
        <v>198</v>
      </c>
      <c r="V8" s="11" t="s">
        <v>97</v>
      </c>
      <c r="W8" s="12" t="s">
        <v>199</v>
      </c>
      <c r="X8" s="11" t="s">
        <v>141</v>
      </c>
      <c r="Y8" s="12" t="s">
        <v>200</v>
      </c>
      <c r="Z8" s="12" t="s">
        <v>101</v>
      </c>
      <c r="AA8" s="12" t="s">
        <v>102</v>
      </c>
      <c r="AB8" s="12" t="s">
        <v>201</v>
      </c>
      <c r="AC8" s="12" t="s">
        <v>202</v>
      </c>
      <c r="AD8" s="12" t="s">
        <v>203</v>
      </c>
      <c r="AE8" s="12" t="s">
        <v>106</v>
      </c>
      <c r="AF8" s="12" t="s">
        <v>204</v>
      </c>
      <c r="AG8" s="12" t="s">
        <v>205</v>
      </c>
    </row>
    <row r="9" customFormat="false" ht="60" hidden="false" customHeight="true" outlineLevel="0" collapsed="false">
      <c r="A9" s="17" t="s">
        <v>161</v>
      </c>
      <c r="B9" s="16" t="n">
        <v>5</v>
      </c>
      <c r="C9" s="12" t="s">
        <v>13</v>
      </c>
      <c r="D9" s="11" t="s">
        <v>80</v>
      </c>
      <c r="E9" s="12" t="s">
        <v>206</v>
      </c>
      <c r="F9" s="12" t="s">
        <v>207</v>
      </c>
      <c r="G9" s="13" t="n">
        <v>46288</v>
      </c>
      <c r="H9" s="12" t="s">
        <v>133</v>
      </c>
      <c r="I9" s="12" t="s">
        <v>134</v>
      </c>
      <c r="J9" s="14" t="s">
        <v>208</v>
      </c>
      <c r="K9" s="11" t="s">
        <v>209</v>
      </c>
      <c r="L9" s="11" t="s">
        <v>87</v>
      </c>
      <c r="M9" s="12" t="s">
        <v>88</v>
      </c>
      <c r="N9" s="12" t="s">
        <v>89</v>
      </c>
      <c r="O9" s="15" t="s">
        <v>210</v>
      </c>
      <c r="P9" s="11" t="s">
        <v>91</v>
      </c>
      <c r="Q9" s="12" t="s">
        <v>211</v>
      </c>
      <c r="R9" s="12" t="s">
        <v>212</v>
      </c>
      <c r="S9" s="12" t="s">
        <v>94</v>
      </c>
      <c r="T9" s="11" t="s">
        <v>95</v>
      </c>
      <c r="U9" s="11" t="s">
        <v>213</v>
      </c>
      <c r="V9" s="11" t="s">
        <v>97</v>
      </c>
      <c r="W9" s="12" t="s">
        <v>214</v>
      </c>
      <c r="X9" s="11" t="s">
        <v>215</v>
      </c>
      <c r="Y9" s="12" t="s">
        <v>216</v>
      </c>
      <c r="Z9" s="12" t="s">
        <v>101</v>
      </c>
      <c r="AA9" s="12" t="s">
        <v>102</v>
      </c>
      <c r="AB9" s="12" t="s">
        <v>217</v>
      </c>
      <c r="AC9" s="12" t="s">
        <v>218</v>
      </c>
      <c r="AD9" s="12" t="s">
        <v>219</v>
      </c>
      <c r="AE9" s="12" t="s">
        <v>106</v>
      </c>
      <c r="AF9" s="12" t="s">
        <v>220</v>
      </c>
      <c r="AG9" s="12" t="s">
        <v>221</v>
      </c>
    </row>
    <row r="10" customFormat="false" ht="60" hidden="false" customHeight="true" outlineLevel="0" collapsed="false">
      <c r="A10" s="17" t="s">
        <v>161</v>
      </c>
      <c r="B10" s="16" t="n">
        <v>5</v>
      </c>
      <c r="C10" s="12" t="s">
        <v>13</v>
      </c>
      <c r="D10" s="11" t="s">
        <v>80</v>
      </c>
      <c r="E10" s="12" t="s">
        <v>222</v>
      </c>
      <c r="F10" s="12" t="s">
        <v>223</v>
      </c>
      <c r="G10" s="13" t="n">
        <v>46292</v>
      </c>
      <c r="H10" s="12" t="s">
        <v>133</v>
      </c>
      <c r="I10" s="12" t="s">
        <v>134</v>
      </c>
      <c r="J10" s="14" t="s">
        <v>85</v>
      </c>
      <c r="K10" s="11" t="s">
        <v>86</v>
      </c>
      <c r="L10" s="11" t="s">
        <v>87</v>
      </c>
      <c r="M10" s="12" t="s">
        <v>88</v>
      </c>
      <c r="N10" s="12" t="s">
        <v>224</v>
      </c>
      <c r="O10" s="15" t="s">
        <v>225</v>
      </c>
      <c r="P10" s="11" t="s">
        <v>136</v>
      </c>
      <c r="Q10" s="12" t="s">
        <v>226</v>
      </c>
      <c r="R10" s="12" t="s">
        <v>227</v>
      </c>
      <c r="S10" s="12" t="s">
        <v>182</v>
      </c>
      <c r="T10" s="11" t="s">
        <v>183</v>
      </c>
      <c r="U10" s="11" t="s">
        <v>228</v>
      </c>
      <c r="V10" s="11" t="s">
        <v>97</v>
      </c>
      <c r="W10" s="12" t="s">
        <v>229</v>
      </c>
      <c r="X10" s="11" t="s">
        <v>230</v>
      </c>
      <c r="Y10" s="12" t="s">
        <v>231</v>
      </c>
      <c r="Z10" s="12" t="s">
        <v>101</v>
      </c>
      <c r="AA10" s="12" t="s">
        <v>102</v>
      </c>
      <c r="AB10" s="12" t="s">
        <v>232</v>
      </c>
      <c r="AC10" s="12" t="s">
        <v>233</v>
      </c>
      <c r="AD10" s="12" t="s">
        <v>234</v>
      </c>
      <c r="AE10" s="12" t="s">
        <v>106</v>
      </c>
      <c r="AF10" s="12" t="s">
        <v>235</v>
      </c>
      <c r="AG10" s="12" t="s">
        <v>236</v>
      </c>
    </row>
    <row r="11" customFormat="false" ht="60" hidden="false" customHeight="true" outlineLevel="0" collapsed="false">
      <c r="A11" s="17" t="s">
        <v>161</v>
      </c>
      <c r="B11" s="16" t="n">
        <v>5</v>
      </c>
      <c r="C11" s="12" t="s">
        <v>237</v>
      </c>
      <c r="D11" s="11" t="s">
        <v>110</v>
      </c>
      <c r="E11" s="12" t="s">
        <v>238</v>
      </c>
      <c r="F11" s="12" t="s">
        <v>239</v>
      </c>
      <c r="G11" s="13" t="n">
        <v>46296</v>
      </c>
      <c r="H11" s="12" t="s">
        <v>133</v>
      </c>
      <c r="I11" s="12" t="s">
        <v>134</v>
      </c>
      <c r="J11" s="14" t="s">
        <v>240</v>
      </c>
      <c r="K11" s="11" t="s">
        <v>86</v>
      </c>
      <c r="L11" s="11" t="s">
        <v>87</v>
      </c>
      <c r="M11" s="12" t="s">
        <v>88</v>
      </c>
      <c r="N11" s="12" t="s">
        <v>241</v>
      </c>
      <c r="O11" s="15" t="s">
        <v>242</v>
      </c>
      <c r="P11" s="11" t="s">
        <v>136</v>
      </c>
      <c r="Q11" s="12" t="s">
        <v>243</v>
      </c>
      <c r="R11" s="12" t="s">
        <v>244</v>
      </c>
      <c r="S11" s="12" t="s">
        <v>245</v>
      </c>
      <c r="T11" s="11" t="s">
        <v>95</v>
      </c>
      <c r="U11" s="11" t="s">
        <v>246</v>
      </c>
      <c r="V11" s="11" t="s">
        <v>97</v>
      </c>
      <c r="W11" s="12" t="s">
        <v>247</v>
      </c>
      <c r="X11" s="11" t="s">
        <v>248</v>
      </c>
      <c r="Y11" s="12" t="s">
        <v>249</v>
      </c>
      <c r="Z11" s="12" t="s">
        <v>101</v>
      </c>
      <c r="AA11" s="12" t="s">
        <v>102</v>
      </c>
      <c r="AB11" s="12" t="s">
        <v>250</v>
      </c>
      <c r="AC11" s="12" t="s">
        <v>251</v>
      </c>
      <c r="AD11" s="12" t="s">
        <v>252</v>
      </c>
      <c r="AE11" s="12" t="s">
        <v>127</v>
      </c>
      <c r="AF11" s="12" t="s">
        <v>253</v>
      </c>
      <c r="AG11" s="12" t="s">
        <v>254</v>
      </c>
    </row>
    <row r="12" customFormat="false" ht="60" hidden="false" customHeight="true" outlineLevel="0" collapsed="false">
      <c r="A12" s="17" t="s">
        <v>161</v>
      </c>
      <c r="B12" s="16" t="n">
        <v>5</v>
      </c>
      <c r="C12" s="12" t="s">
        <v>109</v>
      </c>
      <c r="D12" s="11" t="s">
        <v>110</v>
      </c>
      <c r="E12" s="12" t="s">
        <v>255</v>
      </c>
      <c r="F12" s="12" t="s">
        <v>256</v>
      </c>
      <c r="G12" s="13" t="n">
        <v>46296</v>
      </c>
      <c r="H12" s="12" t="s">
        <v>133</v>
      </c>
      <c r="I12" s="12" t="s">
        <v>134</v>
      </c>
      <c r="J12" s="14" t="s">
        <v>85</v>
      </c>
      <c r="K12" s="11" t="s">
        <v>86</v>
      </c>
      <c r="L12" s="11" t="s">
        <v>87</v>
      </c>
      <c r="M12" s="12" t="s">
        <v>88</v>
      </c>
      <c r="N12" s="12" t="s">
        <v>89</v>
      </c>
      <c r="O12" s="15" t="s">
        <v>257</v>
      </c>
      <c r="P12" s="11" t="s">
        <v>136</v>
      </c>
      <c r="Q12" s="12" t="s">
        <v>258</v>
      </c>
      <c r="R12" s="12" t="s">
        <v>259</v>
      </c>
      <c r="S12" s="12" t="s">
        <v>260</v>
      </c>
      <c r="T12" s="11" t="s">
        <v>95</v>
      </c>
      <c r="U12" s="11" t="s">
        <v>261</v>
      </c>
      <c r="V12" s="11" t="s">
        <v>97</v>
      </c>
      <c r="W12" s="12" t="s">
        <v>262</v>
      </c>
      <c r="X12" s="11" t="s">
        <v>141</v>
      </c>
      <c r="Y12" s="12" t="s">
        <v>263</v>
      </c>
      <c r="Z12" s="12" t="s">
        <v>101</v>
      </c>
      <c r="AA12" s="12" t="s">
        <v>102</v>
      </c>
      <c r="AB12" s="12" t="s">
        <v>264</v>
      </c>
      <c r="AC12" s="12" t="s">
        <v>265</v>
      </c>
      <c r="AD12" s="12" t="s">
        <v>266</v>
      </c>
      <c r="AE12" s="12" t="s">
        <v>127</v>
      </c>
      <c r="AF12" s="12" t="s">
        <v>267</v>
      </c>
      <c r="AG12" s="12" t="s">
        <v>268</v>
      </c>
    </row>
    <row r="13" customFormat="false" ht="60" hidden="false" customHeight="true" outlineLevel="0" collapsed="false">
      <c r="A13" s="17" t="s">
        <v>161</v>
      </c>
      <c r="B13" s="11" t="n">
        <v>4</v>
      </c>
      <c r="C13" s="12" t="s">
        <v>13</v>
      </c>
      <c r="D13" s="11" t="s">
        <v>80</v>
      </c>
      <c r="E13" s="12" t="s">
        <v>255</v>
      </c>
      <c r="F13" s="12" t="s">
        <v>269</v>
      </c>
      <c r="G13" s="13" t="n">
        <v>46296</v>
      </c>
      <c r="H13" s="12" t="s">
        <v>133</v>
      </c>
      <c r="I13" s="12" t="s">
        <v>134</v>
      </c>
      <c r="J13" s="14" t="s">
        <v>85</v>
      </c>
      <c r="K13" s="11" t="s">
        <v>86</v>
      </c>
      <c r="L13" s="11" t="s">
        <v>87</v>
      </c>
      <c r="M13" s="12" t="s">
        <v>88</v>
      </c>
      <c r="N13" s="12" t="s">
        <v>89</v>
      </c>
      <c r="O13" s="15" t="s">
        <v>270</v>
      </c>
      <c r="P13" s="11" t="s">
        <v>136</v>
      </c>
      <c r="Q13" s="12" t="s">
        <v>258</v>
      </c>
      <c r="R13" s="12" t="s">
        <v>259</v>
      </c>
      <c r="S13" s="12" t="s">
        <v>271</v>
      </c>
      <c r="T13" s="11" t="s">
        <v>95</v>
      </c>
      <c r="U13" s="11" t="s">
        <v>261</v>
      </c>
      <c r="V13" s="11" t="s">
        <v>97</v>
      </c>
      <c r="W13" s="12" t="s">
        <v>272</v>
      </c>
      <c r="X13" s="11" t="s">
        <v>248</v>
      </c>
      <c r="Y13" s="12" t="s">
        <v>273</v>
      </c>
      <c r="Z13" s="12" t="s">
        <v>101</v>
      </c>
      <c r="AA13" s="12" t="s">
        <v>102</v>
      </c>
      <c r="AB13" s="12" t="s">
        <v>274</v>
      </c>
      <c r="AC13" s="12" t="s">
        <v>275</v>
      </c>
      <c r="AD13" s="12" t="s">
        <v>276</v>
      </c>
      <c r="AE13" s="12" t="s">
        <v>106</v>
      </c>
      <c r="AF13" s="12" t="s">
        <v>277</v>
      </c>
      <c r="AG13" s="12" t="s">
        <v>278</v>
      </c>
    </row>
    <row r="14" customFormat="false" ht="60" hidden="false" customHeight="true" outlineLevel="0" collapsed="false">
      <c r="A14" s="17" t="s">
        <v>279</v>
      </c>
      <c r="B14" s="11" t="n">
        <v>4</v>
      </c>
      <c r="C14" s="12" t="s">
        <v>237</v>
      </c>
      <c r="D14" s="11" t="s">
        <v>110</v>
      </c>
      <c r="E14" s="12" t="s">
        <v>280</v>
      </c>
      <c r="F14" s="12" t="s">
        <v>281</v>
      </c>
      <c r="G14" s="13" t="n">
        <v>46444</v>
      </c>
      <c r="H14" s="12" t="s">
        <v>282</v>
      </c>
      <c r="I14" s="12" t="s">
        <v>283</v>
      </c>
      <c r="J14" s="14" t="s">
        <v>113</v>
      </c>
      <c r="K14" s="11" t="s">
        <v>86</v>
      </c>
      <c r="L14" s="11" t="s">
        <v>114</v>
      </c>
      <c r="M14" s="12" t="s">
        <v>284</v>
      </c>
      <c r="N14" s="12" t="s">
        <v>89</v>
      </c>
      <c r="O14" s="15" t="s">
        <v>285</v>
      </c>
      <c r="P14" s="11" t="s">
        <v>91</v>
      </c>
      <c r="Q14" s="12" t="s">
        <v>286</v>
      </c>
      <c r="R14" s="12" t="s">
        <v>287</v>
      </c>
      <c r="S14" s="12" t="s">
        <v>288</v>
      </c>
      <c r="T14" s="11" t="s">
        <v>95</v>
      </c>
      <c r="U14" s="11" t="s">
        <v>96</v>
      </c>
      <c r="V14" s="11" t="s">
        <v>97</v>
      </c>
      <c r="W14" s="12" t="s">
        <v>289</v>
      </c>
      <c r="X14" s="11" t="s">
        <v>290</v>
      </c>
      <c r="Y14" s="12" t="s">
        <v>291</v>
      </c>
      <c r="Z14" s="12" t="s">
        <v>101</v>
      </c>
      <c r="AA14" s="12" t="s">
        <v>102</v>
      </c>
      <c r="AB14" s="12" t="s">
        <v>292</v>
      </c>
      <c r="AC14" s="12" t="s">
        <v>293</v>
      </c>
      <c r="AD14" s="12" t="s">
        <v>294</v>
      </c>
      <c r="AE14" s="12" t="s">
        <v>106</v>
      </c>
      <c r="AF14" s="12" t="s">
        <v>295</v>
      </c>
      <c r="AG14" s="12" t="s">
        <v>296</v>
      </c>
    </row>
    <row r="15" customFormat="false" ht="60" hidden="false" customHeight="true" outlineLevel="0" collapsed="false">
      <c r="A15" s="17" t="s">
        <v>279</v>
      </c>
      <c r="B15" s="16" t="n">
        <v>5</v>
      </c>
      <c r="C15" s="12" t="s">
        <v>297</v>
      </c>
      <c r="D15" s="11" t="s">
        <v>110</v>
      </c>
      <c r="E15" s="12" t="s">
        <v>298</v>
      </c>
      <c r="F15" s="12" t="s">
        <v>299</v>
      </c>
      <c r="G15" s="13" t="n">
        <v>46446</v>
      </c>
      <c r="H15" s="12" t="s">
        <v>282</v>
      </c>
      <c r="I15" s="12" t="s">
        <v>300</v>
      </c>
      <c r="J15" s="14" t="s">
        <v>85</v>
      </c>
      <c r="K15" s="11" t="s">
        <v>86</v>
      </c>
      <c r="L15" s="11" t="s">
        <v>87</v>
      </c>
      <c r="M15" s="12" t="s">
        <v>301</v>
      </c>
      <c r="N15" s="12" t="s">
        <v>89</v>
      </c>
      <c r="O15" s="15" t="s">
        <v>302</v>
      </c>
      <c r="P15" s="11" t="s">
        <v>136</v>
      </c>
      <c r="Q15" s="12" t="s">
        <v>303</v>
      </c>
      <c r="R15" s="12" t="s">
        <v>304</v>
      </c>
      <c r="S15" s="12" t="s">
        <v>305</v>
      </c>
      <c r="T15" s="11" t="s">
        <v>95</v>
      </c>
      <c r="U15" s="11" t="s">
        <v>306</v>
      </c>
      <c r="V15" s="11" t="s">
        <v>97</v>
      </c>
      <c r="W15" s="12" t="s">
        <v>307</v>
      </c>
      <c r="X15" s="11" t="s">
        <v>308</v>
      </c>
      <c r="Y15" s="12" t="s">
        <v>309</v>
      </c>
      <c r="Z15" s="12" t="s">
        <v>101</v>
      </c>
      <c r="AA15" s="12" t="s">
        <v>310</v>
      </c>
      <c r="AB15" s="12" t="s">
        <v>311</v>
      </c>
      <c r="AC15" s="12" t="s">
        <v>312</v>
      </c>
      <c r="AD15" s="12" t="s">
        <v>313</v>
      </c>
      <c r="AE15" s="12" t="s">
        <v>106</v>
      </c>
      <c r="AF15" s="12" t="s">
        <v>314</v>
      </c>
      <c r="AG15" s="12" t="s">
        <v>315</v>
      </c>
    </row>
    <row r="16" customFormat="false" ht="60" hidden="false" customHeight="true" outlineLevel="0" collapsed="false">
      <c r="A16" s="17" t="s">
        <v>279</v>
      </c>
      <c r="B16" s="16" t="n">
        <v>5</v>
      </c>
      <c r="C16" s="12" t="s">
        <v>13</v>
      </c>
      <c r="D16" s="11" t="s">
        <v>80</v>
      </c>
      <c r="E16" s="12" t="s">
        <v>316</v>
      </c>
      <c r="F16" s="12" t="s">
        <v>317</v>
      </c>
      <c r="G16" s="13" t="n">
        <v>46507</v>
      </c>
      <c r="H16" s="12" t="s">
        <v>282</v>
      </c>
      <c r="I16" s="12" t="s">
        <v>318</v>
      </c>
      <c r="J16" s="14" t="s">
        <v>85</v>
      </c>
      <c r="K16" s="11" t="s">
        <v>86</v>
      </c>
      <c r="L16" s="11" t="s">
        <v>87</v>
      </c>
      <c r="M16" s="12" t="s">
        <v>88</v>
      </c>
      <c r="N16" s="12" t="s">
        <v>89</v>
      </c>
      <c r="O16" s="15" t="s">
        <v>319</v>
      </c>
      <c r="P16" s="11" t="s">
        <v>91</v>
      </c>
      <c r="Q16" s="12" t="s">
        <v>320</v>
      </c>
      <c r="R16" s="12" t="s">
        <v>321</v>
      </c>
      <c r="S16" s="12" t="s">
        <v>322</v>
      </c>
      <c r="T16" s="11" t="s">
        <v>95</v>
      </c>
      <c r="U16" s="11" t="s">
        <v>261</v>
      </c>
      <c r="V16" s="11" t="s">
        <v>97</v>
      </c>
      <c r="W16" s="12" t="s">
        <v>323</v>
      </c>
      <c r="X16" s="11" t="s">
        <v>324</v>
      </c>
      <c r="Y16" s="12" t="s">
        <v>325</v>
      </c>
      <c r="Z16" s="12" t="s">
        <v>101</v>
      </c>
      <c r="AA16" s="12" t="s">
        <v>102</v>
      </c>
      <c r="AB16" s="12" t="s">
        <v>326</v>
      </c>
      <c r="AC16" s="12" t="s">
        <v>327</v>
      </c>
      <c r="AD16" s="12" t="s">
        <v>328</v>
      </c>
      <c r="AE16" s="12" t="s">
        <v>106</v>
      </c>
      <c r="AF16" s="12" t="s">
        <v>329</v>
      </c>
      <c r="AG16" s="12" t="s">
        <v>330</v>
      </c>
    </row>
    <row r="17" customFormat="false" ht="60" hidden="false" customHeight="true" outlineLevel="0" collapsed="false">
      <c r="A17" s="17" t="s">
        <v>279</v>
      </c>
      <c r="B17" s="11" t="n">
        <v>4</v>
      </c>
      <c r="C17" s="12" t="s">
        <v>297</v>
      </c>
      <c r="D17" s="11" t="s">
        <v>110</v>
      </c>
      <c r="E17" s="12" t="s">
        <v>331</v>
      </c>
      <c r="F17" s="12" t="s">
        <v>332</v>
      </c>
      <c r="G17" s="13" t="n">
        <v>46507</v>
      </c>
      <c r="H17" s="12" t="s">
        <v>282</v>
      </c>
      <c r="I17" s="12" t="s">
        <v>318</v>
      </c>
      <c r="J17" s="14" t="s">
        <v>85</v>
      </c>
      <c r="K17" s="11" t="s">
        <v>86</v>
      </c>
      <c r="L17" s="11" t="s">
        <v>87</v>
      </c>
      <c r="M17" s="12" t="s">
        <v>333</v>
      </c>
      <c r="N17" s="12" t="s">
        <v>89</v>
      </c>
      <c r="O17" s="15" t="s">
        <v>334</v>
      </c>
      <c r="P17" s="11" t="s">
        <v>136</v>
      </c>
      <c r="Q17" s="12" t="s">
        <v>335</v>
      </c>
      <c r="R17" s="12" t="s">
        <v>336</v>
      </c>
      <c r="S17" s="12" t="s">
        <v>337</v>
      </c>
      <c r="T17" s="11" t="s">
        <v>95</v>
      </c>
      <c r="U17" s="11" t="s">
        <v>96</v>
      </c>
      <c r="V17" s="11" t="s">
        <v>97</v>
      </c>
      <c r="W17" s="12" t="s">
        <v>338</v>
      </c>
      <c r="X17" s="11" t="s">
        <v>339</v>
      </c>
      <c r="Y17" s="12" t="s">
        <v>340</v>
      </c>
      <c r="Z17" s="12" t="s">
        <v>101</v>
      </c>
      <c r="AA17" s="12" t="s">
        <v>310</v>
      </c>
      <c r="AB17" s="12" t="s">
        <v>341</v>
      </c>
      <c r="AC17" s="12" t="s">
        <v>342</v>
      </c>
      <c r="AD17" s="12" t="s">
        <v>343</v>
      </c>
      <c r="AE17" s="12" t="s">
        <v>106</v>
      </c>
      <c r="AF17" s="12"/>
      <c r="AG17" s="12" t="s">
        <v>344</v>
      </c>
    </row>
    <row r="18" customFormat="false" ht="60" hidden="false" customHeight="true" outlineLevel="0" collapsed="false">
      <c r="A18" s="17" t="s">
        <v>279</v>
      </c>
      <c r="B18" s="16" t="n">
        <v>5</v>
      </c>
      <c r="C18" s="12" t="s">
        <v>297</v>
      </c>
      <c r="D18" s="11" t="s">
        <v>110</v>
      </c>
      <c r="E18" s="12" t="s">
        <v>345</v>
      </c>
      <c r="F18" s="12" t="s">
        <v>346</v>
      </c>
      <c r="G18" s="13" t="n">
        <v>46513</v>
      </c>
      <c r="H18" s="12" t="s">
        <v>282</v>
      </c>
      <c r="I18" s="12" t="s">
        <v>347</v>
      </c>
      <c r="J18" s="14" t="s">
        <v>85</v>
      </c>
      <c r="K18" s="11" t="s">
        <v>86</v>
      </c>
      <c r="L18" s="11" t="s">
        <v>87</v>
      </c>
      <c r="M18" s="12" t="s">
        <v>284</v>
      </c>
      <c r="N18" s="12" t="s">
        <v>89</v>
      </c>
      <c r="O18" s="15" t="s">
        <v>348</v>
      </c>
      <c r="P18" s="11" t="s">
        <v>91</v>
      </c>
      <c r="Q18" s="12" t="s">
        <v>349</v>
      </c>
      <c r="R18" s="12" t="s">
        <v>350</v>
      </c>
      <c r="S18" s="12" t="s">
        <v>351</v>
      </c>
      <c r="T18" s="11" t="s">
        <v>95</v>
      </c>
      <c r="U18" s="11" t="s">
        <v>96</v>
      </c>
      <c r="V18" s="11" t="s">
        <v>97</v>
      </c>
      <c r="W18" s="12" t="s">
        <v>352</v>
      </c>
      <c r="X18" s="11" t="s">
        <v>353</v>
      </c>
      <c r="Y18" s="12" t="s">
        <v>354</v>
      </c>
      <c r="Z18" s="12" t="s">
        <v>101</v>
      </c>
      <c r="AA18" s="12" t="s">
        <v>310</v>
      </c>
      <c r="AB18" s="12" t="s">
        <v>355</v>
      </c>
      <c r="AC18" s="12" t="s">
        <v>356</v>
      </c>
      <c r="AD18" s="12" t="s">
        <v>357</v>
      </c>
      <c r="AE18" s="12" t="s">
        <v>106</v>
      </c>
      <c r="AF18" s="12" t="s">
        <v>358</v>
      </c>
      <c r="AG18" s="12" t="s">
        <v>359</v>
      </c>
    </row>
    <row r="19" customFormat="false" ht="60" hidden="false" customHeight="true" outlineLevel="0" collapsed="false">
      <c r="A19" s="17" t="s">
        <v>279</v>
      </c>
      <c r="B19" s="16" t="n">
        <v>5</v>
      </c>
      <c r="C19" s="12" t="s">
        <v>297</v>
      </c>
      <c r="D19" s="11" t="s">
        <v>110</v>
      </c>
      <c r="E19" s="12" t="s">
        <v>360</v>
      </c>
      <c r="F19" s="12" t="s">
        <v>361</v>
      </c>
      <c r="G19" s="13" t="n">
        <v>46538</v>
      </c>
      <c r="H19" s="12" t="s">
        <v>282</v>
      </c>
      <c r="I19" s="12" t="s">
        <v>362</v>
      </c>
      <c r="J19" s="14" t="s">
        <v>85</v>
      </c>
      <c r="K19" s="11" t="s">
        <v>86</v>
      </c>
      <c r="L19" s="11" t="s">
        <v>87</v>
      </c>
      <c r="M19" s="12" t="s">
        <v>333</v>
      </c>
      <c r="N19" s="12" t="s">
        <v>89</v>
      </c>
      <c r="O19" s="15" t="s">
        <v>363</v>
      </c>
      <c r="P19" s="11" t="s">
        <v>91</v>
      </c>
      <c r="Q19" s="12" t="s">
        <v>364</v>
      </c>
      <c r="R19" s="12" t="s">
        <v>365</v>
      </c>
      <c r="S19" s="12" t="s">
        <v>366</v>
      </c>
      <c r="T19" s="11" t="s">
        <v>183</v>
      </c>
      <c r="U19" s="11" t="s">
        <v>261</v>
      </c>
      <c r="V19" s="11" t="s">
        <v>97</v>
      </c>
      <c r="W19" s="12" t="s">
        <v>367</v>
      </c>
      <c r="X19" s="11" t="s">
        <v>368</v>
      </c>
      <c r="Y19" s="12" t="s">
        <v>369</v>
      </c>
      <c r="Z19" s="12" t="s">
        <v>101</v>
      </c>
      <c r="AA19" s="12" t="s">
        <v>310</v>
      </c>
      <c r="AB19" s="12" t="s">
        <v>370</v>
      </c>
      <c r="AC19" s="12" t="s">
        <v>371</v>
      </c>
      <c r="AD19" s="12" t="s">
        <v>372</v>
      </c>
      <c r="AE19" s="12" t="s">
        <v>106</v>
      </c>
      <c r="AF19" s="12" t="s">
        <v>373</v>
      </c>
      <c r="AG19" s="12" t="s">
        <v>374</v>
      </c>
    </row>
    <row r="20" customFormat="false" ht="60" hidden="false" customHeight="true" outlineLevel="0" collapsed="false">
      <c r="A20" s="17" t="s">
        <v>279</v>
      </c>
      <c r="B20" s="16" t="n">
        <v>5</v>
      </c>
      <c r="C20" s="12" t="s">
        <v>297</v>
      </c>
      <c r="D20" s="11" t="s">
        <v>110</v>
      </c>
      <c r="E20" s="12" t="s">
        <v>375</v>
      </c>
      <c r="F20" s="12" t="s">
        <v>376</v>
      </c>
      <c r="G20" s="13" t="n">
        <v>46568</v>
      </c>
      <c r="H20" s="12" t="s">
        <v>282</v>
      </c>
      <c r="I20" s="12" t="s">
        <v>377</v>
      </c>
      <c r="J20" s="14" t="s">
        <v>85</v>
      </c>
      <c r="K20" s="11" t="s">
        <v>86</v>
      </c>
      <c r="L20" s="11" t="s">
        <v>87</v>
      </c>
      <c r="M20" s="12" t="s">
        <v>284</v>
      </c>
      <c r="N20" s="12" t="s">
        <v>89</v>
      </c>
      <c r="O20" s="15" t="s">
        <v>378</v>
      </c>
      <c r="P20" s="11" t="s">
        <v>91</v>
      </c>
      <c r="Q20" s="12" t="s">
        <v>379</v>
      </c>
      <c r="R20" s="12" t="s">
        <v>380</v>
      </c>
      <c r="S20" s="12" t="s">
        <v>381</v>
      </c>
      <c r="T20" s="11" t="s">
        <v>183</v>
      </c>
      <c r="U20" s="11" t="s">
        <v>382</v>
      </c>
      <c r="V20" s="11" t="s">
        <v>97</v>
      </c>
      <c r="W20" s="12" t="s">
        <v>383</v>
      </c>
      <c r="X20" s="11" t="s">
        <v>384</v>
      </c>
      <c r="Y20" s="12" t="s">
        <v>385</v>
      </c>
      <c r="Z20" s="12" t="s">
        <v>101</v>
      </c>
      <c r="AA20" s="12" t="s">
        <v>310</v>
      </c>
      <c r="AB20" s="12" t="s">
        <v>386</v>
      </c>
      <c r="AC20" s="12" t="s">
        <v>387</v>
      </c>
      <c r="AD20" s="12" t="s">
        <v>388</v>
      </c>
      <c r="AE20" s="12" t="s">
        <v>127</v>
      </c>
      <c r="AF20" s="12" t="s">
        <v>389</v>
      </c>
      <c r="AG20" s="12" t="s">
        <v>390</v>
      </c>
    </row>
    <row r="21" customFormat="false" ht="60" hidden="false" customHeight="true" outlineLevel="0" collapsed="false">
      <c r="A21" s="17" t="s">
        <v>279</v>
      </c>
      <c r="B21" s="11" t="n">
        <v>4</v>
      </c>
      <c r="C21" s="12" t="s">
        <v>297</v>
      </c>
      <c r="D21" s="11" t="s">
        <v>110</v>
      </c>
      <c r="E21" s="12" t="s">
        <v>391</v>
      </c>
      <c r="F21" s="12" t="s">
        <v>392</v>
      </c>
      <c r="G21" s="13" t="n">
        <v>46568</v>
      </c>
      <c r="H21" s="12" t="s">
        <v>282</v>
      </c>
      <c r="I21" s="12" t="s">
        <v>377</v>
      </c>
      <c r="J21" s="14" t="s">
        <v>85</v>
      </c>
      <c r="K21" s="11" t="s">
        <v>86</v>
      </c>
      <c r="L21" s="11" t="s">
        <v>87</v>
      </c>
      <c r="M21" s="12" t="s">
        <v>284</v>
      </c>
      <c r="N21" s="12" t="s">
        <v>89</v>
      </c>
      <c r="O21" s="15" t="s">
        <v>393</v>
      </c>
      <c r="P21" s="11" t="s">
        <v>136</v>
      </c>
      <c r="Q21" s="12" t="s">
        <v>394</v>
      </c>
      <c r="R21" s="12" t="s">
        <v>395</v>
      </c>
      <c r="S21" s="12" t="s">
        <v>396</v>
      </c>
      <c r="T21" s="11" t="s">
        <v>95</v>
      </c>
      <c r="U21" s="11" t="s">
        <v>96</v>
      </c>
      <c r="V21" s="11" t="s">
        <v>97</v>
      </c>
      <c r="W21" s="12" t="s">
        <v>397</v>
      </c>
      <c r="X21" s="11" t="s">
        <v>398</v>
      </c>
      <c r="Y21" s="12" t="s">
        <v>399</v>
      </c>
      <c r="Z21" s="12" t="s">
        <v>101</v>
      </c>
      <c r="AA21" s="12" t="s">
        <v>310</v>
      </c>
      <c r="AB21" s="12" t="s">
        <v>400</v>
      </c>
      <c r="AC21" s="12" t="s">
        <v>401</v>
      </c>
      <c r="AD21" s="12" t="s">
        <v>402</v>
      </c>
      <c r="AE21" s="12" t="s">
        <v>106</v>
      </c>
      <c r="AF21" s="12"/>
      <c r="AG21" s="12" t="s">
        <v>403</v>
      </c>
    </row>
    <row r="22" customFormat="false" ht="60" hidden="false" customHeight="true" outlineLevel="0" collapsed="false">
      <c r="A22" s="17" t="s">
        <v>279</v>
      </c>
      <c r="B22" s="11" t="n">
        <v>4</v>
      </c>
      <c r="C22" s="12" t="s">
        <v>297</v>
      </c>
      <c r="D22" s="11" t="s">
        <v>110</v>
      </c>
      <c r="E22" s="12" t="s">
        <v>404</v>
      </c>
      <c r="F22" s="12" t="s">
        <v>405</v>
      </c>
      <c r="G22" s="13" t="n">
        <v>46599</v>
      </c>
      <c r="H22" s="12" t="s">
        <v>282</v>
      </c>
      <c r="I22" s="12" t="s">
        <v>406</v>
      </c>
      <c r="J22" s="14" t="s">
        <v>85</v>
      </c>
      <c r="K22" s="11" t="s">
        <v>86</v>
      </c>
      <c r="L22" s="11" t="s">
        <v>87</v>
      </c>
      <c r="M22" s="12" t="s">
        <v>284</v>
      </c>
      <c r="N22" s="12" t="s">
        <v>89</v>
      </c>
      <c r="O22" s="15" t="s">
        <v>407</v>
      </c>
      <c r="P22" s="11" t="s">
        <v>91</v>
      </c>
      <c r="Q22" s="12" t="s">
        <v>408</v>
      </c>
      <c r="R22" s="12" t="s">
        <v>409</v>
      </c>
      <c r="S22" s="12" t="s">
        <v>410</v>
      </c>
      <c r="T22" s="11" t="s">
        <v>95</v>
      </c>
      <c r="U22" s="11" t="s">
        <v>228</v>
      </c>
      <c r="V22" s="11" t="s">
        <v>97</v>
      </c>
      <c r="W22" s="12" t="s">
        <v>411</v>
      </c>
      <c r="X22" s="11" t="s">
        <v>412</v>
      </c>
      <c r="Y22" s="12" t="s">
        <v>413</v>
      </c>
      <c r="Z22" s="12" t="s">
        <v>101</v>
      </c>
      <c r="AA22" s="12" t="s">
        <v>310</v>
      </c>
      <c r="AB22" s="12" t="s">
        <v>414</v>
      </c>
      <c r="AC22" s="12" t="s">
        <v>415</v>
      </c>
      <c r="AD22" s="12" t="s">
        <v>416</v>
      </c>
      <c r="AE22" s="12" t="s">
        <v>106</v>
      </c>
      <c r="AF22" s="12" t="s">
        <v>417</v>
      </c>
      <c r="AG22" s="12" t="s">
        <v>418</v>
      </c>
    </row>
    <row r="23" customFormat="false" ht="60" hidden="false" customHeight="true" outlineLevel="0" collapsed="false">
      <c r="A23" s="17" t="s">
        <v>279</v>
      </c>
      <c r="B23" s="16" t="n">
        <v>5</v>
      </c>
      <c r="C23" s="12" t="s">
        <v>13</v>
      </c>
      <c r="D23" s="11" t="s">
        <v>80</v>
      </c>
      <c r="E23" s="12" t="s">
        <v>419</v>
      </c>
      <c r="F23" s="12" t="s">
        <v>420</v>
      </c>
      <c r="G23" s="13" t="n">
        <v>46600</v>
      </c>
      <c r="H23" s="12" t="s">
        <v>282</v>
      </c>
      <c r="I23" s="12" t="s">
        <v>324</v>
      </c>
      <c r="J23" s="14" t="s">
        <v>85</v>
      </c>
      <c r="K23" s="11" t="s">
        <v>86</v>
      </c>
      <c r="L23" s="11" t="s">
        <v>87</v>
      </c>
      <c r="M23" s="12" t="s">
        <v>88</v>
      </c>
      <c r="N23" s="12" t="s">
        <v>89</v>
      </c>
      <c r="O23" s="15" t="s">
        <v>421</v>
      </c>
      <c r="P23" s="11" t="s">
        <v>136</v>
      </c>
      <c r="Q23" s="12" t="s">
        <v>422</v>
      </c>
      <c r="R23" s="12" t="s">
        <v>423</v>
      </c>
      <c r="S23" s="12" t="s">
        <v>182</v>
      </c>
      <c r="T23" s="11" t="s">
        <v>95</v>
      </c>
      <c r="U23" s="11" t="s">
        <v>246</v>
      </c>
      <c r="V23" s="11" t="s">
        <v>97</v>
      </c>
      <c r="W23" s="12" t="s">
        <v>424</v>
      </c>
      <c r="X23" s="11" t="s">
        <v>425</v>
      </c>
      <c r="Y23" s="12" t="s">
        <v>426</v>
      </c>
      <c r="Z23" s="12" t="s">
        <v>101</v>
      </c>
      <c r="AA23" s="12" t="s">
        <v>102</v>
      </c>
      <c r="AB23" s="12" t="s">
        <v>427</v>
      </c>
      <c r="AC23" s="12" t="s">
        <v>428</v>
      </c>
      <c r="AD23" s="12" t="s">
        <v>429</v>
      </c>
      <c r="AE23" s="12" t="s">
        <v>127</v>
      </c>
      <c r="AF23" s="12" t="s">
        <v>430</v>
      </c>
      <c r="AG23" s="12" t="s">
        <v>431</v>
      </c>
    </row>
    <row r="24" customFormat="false" ht="60" hidden="false" customHeight="true" outlineLevel="0" collapsed="false">
      <c r="A24" s="17" t="s">
        <v>279</v>
      </c>
      <c r="B24" s="11" t="n">
        <v>4</v>
      </c>
      <c r="C24" s="12" t="s">
        <v>297</v>
      </c>
      <c r="D24" s="11" t="s">
        <v>110</v>
      </c>
      <c r="E24" s="12" t="s">
        <v>331</v>
      </c>
      <c r="F24" s="12" t="s">
        <v>432</v>
      </c>
      <c r="G24" s="13" t="n">
        <v>46605</v>
      </c>
      <c r="H24" s="12" t="s">
        <v>282</v>
      </c>
      <c r="I24" s="12" t="s">
        <v>433</v>
      </c>
      <c r="J24" s="14" t="s">
        <v>85</v>
      </c>
      <c r="K24" s="11" t="s">
        <v>86</v>
      </c>
      <c r="L24" s="11" t="s">
        <v>87</v>
      </c>
      <c r="M24" s="12" t="s">
        <v>284</v>
      </c>
      <c r="N24" s="12" t="s">
        <v>89</v>
      </c>
      <c r="O24" s="15" t="s">
        <v>434</v>
      </c>
      <c r="P24" s="11" t="s">
        <v>136</v>
      </c>
      <c r="Q24" s="12" t="s">
        <v>335</v>
      </c>
      <c r="R24" s="12" t="s">
        <v>336</v>
      </c>
      <c r="S24" s="12" t="s">
        <v>435</v>
      </c>
      <c r="T24" s="11" t="s">
        <v>95</v>
      </c>
      <c r="U24" s="11" t="s">
        <v>96</v>
      </c>
      <c r="V24" s="11" t="s">
        <v>97</v>
      </c>
      <c r="W24" s="12" t="s">
        <v>436</v>
      </c>
      <c r="X24" s="11" t="s">
        <v>437</v>
      </c>
      <c r="Y24" s="12" t="s">
        <v>438</v>
      </c>
      <c r="Z24" s="12" t="s">
        <v>101</v>
      </c>
      <c r="AA24" s="12" t="s">
        <v>310</v>
      </c>
      <c r="AB24" s="12" t="s">
        <v>439</v>
      </c>
      <c r="AC24" s="12" t="s">
        <v>440</v>
      </c>
      <c r="AD24" s="12" t="s">
        <v>441</v>
      </c>
      <c r="AE24" s="12" t="s">
        <v>106</v>
      </c>
      <c r="AF24" s="12" t="s">
        <v>442</v>
      </c>
      <c r="AG24" s="12" t="s">
        <v>443</v>
      </c>
    </row>
    <row r="25" customFormat="false" ht="60" hidden="false" customHeight="true" outlineLevel="0" collapsed="false">
      <c r="A25" s="17" t="s">
        <v>279</v>
      </c>
      <c r="B25" s="16" t="n">
        <v>5</v>
      </c>
      <c r="C25" s="12" t="s">
        <v>297</v>
      </c>
      <c r="D25" s="11" t="s">
        <v>110</v>
      </c>
      <c r="E25" s="12" t="s">
        <v>444</v>
      </c>
      <c r="F25" s="12" t="s">
        <v>445</v>
      </c>
      <c r="G25" s="13" t="n">
        <v>46630</v>
      </c>
      <c r="H25" s="12" t="s">
        <v>446</v>
      </c>
      <c r="I25" s="12" t="s">
        <v>447</v>
      </c>
      <c r="J25" s="14" t="s">
        <v>113</v>
      </c>
      <c r="K25" s="11" t="s">
        <v>86</v>
      </c>
      <c r="L25" s="11" t="s">
        <v>114</v>
      </c>
      <c r="M25" s="12" t="s">
        <v>333</v>
      </c>
      <c r="N25" s="12" t="s">
        <v>89</v>
      </c>
      <c r="O25" s="15" t="s">
        <v>448</v>
      </c>
      <c r="P25" s="11" t="s">
        <v>136</v>
      </c>
      <c r="Q25" s="12" t="s">
        <v>449</v>
      </c>
      <c r="R25" s="12" t="s">
        <v>450</v>
      </c>
      <c r="S25" s="12" t="s">
        <v>451</v>
      </c>
      <c r="T25" s="11" t="s">
        <v>95</v>
      </c>
      <c r="U25" s="11" t="s">
        <v>452</v>
      </c>
      <c r="V25" s="11" t="s">
        <v>97</v>
      </c>
      <c r="W25" s="12" t="s">
        <v>453</v>
      </c>
      <c r="X25" s="11" t="s">
        <v>454</v>
      </c>
      <c r="Y25" s="12" t="s">
        <v>455</v>
      </c>
      <c r="Z25" s="12" t="s">
        <v>101</v>
      </c>
      <c r="AA25" s="12" t="s">
        <v>310</v>
      </c>
      <c r="AB25" s="12" t="s">
        <v>456</v>
      </c>
      <c r="AC25" s="12" t="s">
        <v>457</v>
      </c>
      <c r="AD25" s="12" t="s">
        <v>458</v>
      </c>
      <c r="AE25" s="12" t="s">
        <v>106</v>
      </c>
      <c r="AF25" s="12"/>
      <c r="AG25" s="12" t="s">
        <v>459</v>
      </c>
    </row>
    <row r="26" customFormat="false" ht="60" hidden="false" customHeight="true" outlineLevel="0" collapsed="false">
      <c r="A26" s="17" t="s">
        <v>279</v>
      </c>
      <c r="B26" s="16" t="n">
        <v>5</v>
      </c>
      <c r="C26" s="12" t="s">
        <v>297</v>
      </c>
      <c r="D26" s="11" t="s">
        <v>110</v>
      </c>
      <c r="E26" s="12" t="s">
        <v>316</v>
      </c>
      <c r="F26" s="12" t="s">
        <v>460</v>
      </c>
      <c r="G26" s="13" t="n">
        <v>46630</v>
      </c>
      <c r="H26" s="12" t="s">
        <v>282</v>
      </c>
      <c r="I26" s="12" t="s">
        <v>447</v>
      </c>
      <c r="J26" s="14" t="s">
        <v>113</v>
      </c>
      <c r="K26" s="11" t="s">
        <v>86</v>
      </c>
      <c r="L26" s="11" t="s">
        <v>114</v>
      </c>
      <c r="M26" s="12" t="s">
        <v>284</v>
      </c>
      <c r="N26" s="12" t="s">
        <v>89</v>
      </c>
      <c r="O26" s="15" t="s">
        <v>461</v>
      </c>
      <c r="P26" s="11" t="s">
        <v>91</v>
      </c>
      <c r="Q26" s="12" t="s">
        <v>320</v>
      </c>
      <c r="R26" s="12" t="s">
        <v>321</v>
      </c>
      <c r="S26" s="12" t="s">
        <v>462</v>
      </c>
      <c r="T26" s="11" t="s">
        <v>95</v>
      </c>
      <c r="U26" s="11" t="s">
        <v>261</v>
      </c>
      <c r="V26" s="11" t="s">
        <v>97</v>
      </c>
      <c r="W26" s="12" t="s">
        <v>463</v>
      </c>
      <c r="X26" s="11" t="s">
        <v>464</v>
      </c>
      <c r="Y26" s="12" t="s">
        <v>465</v>
      </c>
      <c r="Z26" s="12" t="s">
        <v>101</v>
      </c>
      <c r="AA26" s="12" t="s">
        <v>310</v>
      </c>
      <c r="AB26" s="12" t="s">
        <v>466</v>
      </c>
      <c r="AC26" s="12" t="s">
        <v>467</v>
      </c>
      <c r="AD26" s="12" t="s">
        <v>468</v>
      </c>
      <c r="AE26" s="12" t="s">
        <v>106</v>
      </c>
      <c r="AF26" s="12" t="s">
        <v>469</v>
      </c>
      <c r="AG26" s="12" t="s">
        <v>470</v>
      </c>
    </row>
    <row r="27" customFormat="false" ht="60" hidden="false" customHeight="true" outlineLevel="0" collapsed="false">
      <c r="A27" s="17" t="s">
        <v>279</v>
      </c>
      <c r="B27" s="11" t="n">
        <v>4</v>
      </c>
      <c r="C27" s="12" t="s">
        <v>297</v>
      </c>
      <c r="D27" s="11" t="s">
        <v>110</v>
      </c>
      <c r="E27" s="12" t="s">
        <v>471</v>
      </c>
      <c r="F27" s="12" t="s">
        <v>472</v>
      </c>
      <c r="G27" s="13" t="n">
        <v>46630</v>
      </c>
      <c r="H27" s="12" t="s">
        <v>282</v>
      </c>
      <c r="I27" s="12" t="s">
        <v>447</v>
      </c>
      <c r="J27" s="14" t="s">
        <v>85</v>
      </c>
      <c r="K27" s="11" t="s">
        <v>86</v>
      </c>
      <c r="L27" s="11" t="s">
        <v>87</v>
      </c>
      <c r="M27" s="12" t="s">
        <v>333</v>
      </c>
      <c r="N27" s="12" t="s">
        <v>89</v>
      </c>
      <c r="O27" s="15" t="s">
        <v>473</v>
      </c>
      <c r="P27" s="11" t="s">
        <v>91</v>
      </c>
      <c r="Q27" s="12" t="s">
        <v>474</v>
      </c>
      <c r="R27" s="12" t="s">
        <v>475</v>
      </c>
      <c r="S27" s="12" t="s">
        <v>476</v>
      </c>
      <c r="T27" s="11" t="s">
        <v>95</v>
      </c>
      <c r="U27" s="11" t="s">
        <v>261</v>
      </c>
      <c r="V27" s="11" t="s">
        <v>97</v>
      </c>
      <c r="W27" s="12" t="s">
        <v>477</v>
      </c>
      <c r="X27" s="11" t="s">
        <v>478</v>
      </c>
      <c r="Y27" s="12" t="s">
        <v>479</v>
      </c>
      <c r="Z27" s="12" t="s">
        <v>101</v>
      </c>
      <c r="AA27" s="12" t="s">
        <v>310</v>
      </c>
      <c r="AB27" s="12" t="s">
        <v>480</v>
      </c>
      <c r="AC27" s="12" t="s">
        <v>481</v>
      </c>
      <c r="AD27" s="12" t="s">
        <v>482</v>
      </c>
      <c r="AE27" s="12" t="s">
        <v>127</v>
      </c>
      <c r="AF27" s="12" t="s">
        <v>483</v>
      </c>
      <c r="AG27" s="12" t="s">
        <v>484</v>
      </c>
    </row>
    <row r="28" customFormat="false" ht="60" hidden="false" customHeight="true" outlineLevel="0" collapsed="false">
      <c r="A28" s="17" t="s">
        <v>279</v>
      </c>
      <c r="B28" s="16" t="n">
        <v>5</v>
      </c>
      <c r="C28" s="12" t="s">
        <v>13</v>
      </c>
      <c r="D28" s="11" t="s">
        <v>80</v>
      </c>
      <c r="E28" s="12" t="s">
        <v>485</v>
      </c>
      <c r="F28" s="12" t="s">
        <v>486</v>
      </c>
      <c r="G28" s="11"/>
      <c r="H28" s="12" t="s">
        <v>487</v>
      </c>
      <c r="I28" s="12" t="s">
        <v>134</v>
      </c>
      <c r="J28" s="14" t="s">
        <v>85</v>
      </c>
      <c r="K28" s="11" t="s">
        <v>86</v>
      </c>
      <c r="L28" s="11" t="s">
        <v>87</v>
      </c>
      <c r="M28" s="12" t="s">
        <v>88</v>
      </c>
      <c r="N28" s="12" t="s">
        <v>89</v>
      </c>
      <c r="O28" s="15" t="s">
        <v>488</v>
      </c>
      <c r="P28" s="11" t="s">
        <v>136</v>
      </c>
      <c r="Q28" s="12" t="s">
        <v>489</v>
      </c>
      <c r="R28" s="12" t="s">
        <v>490</v>
      </c>
      <c r="S28" s="12" t="s">
        <v>491</v>
      </c>
      <c r="T28" s="11" t="s">
        <v>183</v>
      </c>
      <c r="U28" s="11" t="s">
        <v>261</v>
      </c>
      <c r="V28" s="11" t="s">
        <v>97</v>
      </c>
      <c r="W28" s="12" t="s">
        <v>492</v>
      </c>
      <c r="X28" s="11" t="s">
        <v>493</v>
      </c>
      <c r="Y28" s="12" t="s">
        <v>494</v>
      </c>
      <c r="Z28" s="12" t="s">
        <v>101</v>
      </c>
      <c r="AA28" s="12" t="s">
        <v>102</v>
      </c>
      <c r="AB28" s="12" t="s">
        <v>495</v>
      </c>
      <c r="AC28" s="12" t="s">
        <v>496</v>
      </c>
      <c r="AD28" s="12" t="s">
        <v>497</v>
      </c>
      <c r="AE28" s="12" t="s">
        <v>106</v>
      </c>
      <c r="AF28" s="12" t="s">
        <v>498</v>
      </c>
      <c r="AG28" s="12" t="s">
        <v>499</v>
      </c>
    </row>
    <row r="29" customFormat="false" ht="60" hidden="false" customHeight="true" outlineLevel="0" collapsed="false">
      <c r="A29" s="17" t="s">
        <v>279</v>
      </c>
      <c r="B29" s="16" t="n">
        <v>5</v>
      </c>
      <c r="C29" s="12" t="s">
        <v>237</v>
      </c>
      <c r="D29" s="11" t="s">
        <v>110</v>
      </c>
      <c r="E29" s="12" t="s">
        <v>444</v>
      </c>
      <c r="F29" s="12" t="s">
        <v>500</v>
      </c>
      <c r="G29" s="11"/>
      <c r="H29" s="12" t="s">
        <v>487</v>
      </c>
      <c r="I29" s="12" t="s">
        <v>134</v>
      </c>
      <c r="J29" s="14" t="s">
        <v>85</v>
      </c>
      <c r="K29" s="11" t="s">
        <v>86</v>
      </c>
      <c r="L29" s="11" t="s">
        <v>87</v>
      </c>
      <c r="M29" s="12" t="s">
        <v>284</v>
      </c>
      <c r="N29" s="12" t="s">
        <v>89</v>
      </c>
      <c r="O29" s="15" t="s">
        <v>501</v>
      </c>
      <c r="P29" s="11" t="s">
        <v>136</v>
      </c>
      <c r="Q29" s="12" t="s">
        <v>449</v>
      </c>
      <c r="R29" s="12" t="s">
        <v>450</v>
      </c>
      <c r="S29" s="12" t="s">
        <v>502</v>
      </c>
      <c r="T29" s="11" t="s">
        <v>95</v>
      </c>
      <c r="U29" s="11" t="s">
        <v>452</v>
      </c>
      <c r="V29" s="11" t="s">
        <v>97</v>
      </c>
      <c r="W29" s="12" t="s">
        <v>503</v>
      </c>
      <c r="X29" s="11" t="s">
        <v>504</v>
      </c>
      <c r="Y29" s="12" t="s">
        <v>505</v>
      </c>
      <c r="Z29" s="12" t="s">
        <v>101</v>
      </c>
      <c r="AA29" s="12" t="s">
        <v>102</v>
      </c>
      <c r="AB29" s="12" t="s">
        <v>506</v>
      </c>
      <c r="AC29" s="12" t="s">
        <v>507</v>
      </c>
      <c r="AD29" s="12" t="s">
        <v>508</v>
      </c>
      <c r="AE29" s="12" t="s">
        <v>127</v>
      </c>
      <c r="AF29" s="12" t="s">
        <v>509</v>
      </c>
      <c r="AG29" s="12" t="s">
        <v>510</v>
      </c>
    </row>
    <row r="30" customFormat="false" ht="60" hidden="false" customHeight="true" outlineLevel="0" collapsed="false">
      <c r="A30" s="17" t="s">
        <v>279</v>
      </c>
      <c r="B30" s="16" t="n">
        <v>5</v>
      </c>
      <c r="C30" s="12" t="s">
        <v>237</v>
      </c>
      <c r="D30" s="11" t="s">
        <v>110</v>
      </c>
      <c r="E30" s="12" t="s">
        <v>511</v>
      </c>
      <c r="F30" s="12" t="s">
        <v>512</v>
      </c>
      <c r="G30" s="11"/>
      <c r="H30" s="12" t="s">
        <v>487</v>
      </c>
      <c r="I30" s="12" t="s">
        <v>134</v>
      </c>
      <c r="J30" s="18" t="s">
        <v>513</v>
      </c>
      <c r="K30" s="11" t="s">
        <v>514</v>
      </c>
      <c r="L30" s="11" t="s">
        <v>87</v>
      </c>
      <c r="M30" s="12" t="s">
        <v>284</v>
      </c>
      <c r="N30" s="12" t="s">
        <v>89</v>
      </c>
      <c r="O30" s="15" t="s">
        <v>515</v>
      </c>
      <c r="P30" s="11" t="s">
        <v>136</v>
      </c>
      <c r="Q30" s="12" t="s">
        <v>303</v>
      </c>
      <c r="R30" s="12" t="s">
        <v>516</v>
      </c>
      <c r="S30" s="12" t="s">
        <v>517</v>
      </c>
      <c r="T30" s="11" t="s">
        <v>183</v>
      </c>
      <c r="U30" s="11" t="s">
        <v>518</v>
      </c>
      <c r="V30" s="11" t="s">
        <v>97</v>
      </c>
      <c r="W30" s="12" t="s">
        <v>519</v>
      </c>
      <c r="X30" s="11" t="s">
        <v>520</v>
      </c>
      <c r="Y30" s="12" t="s">
        <v>521</v>
      </c>
      <c r="Z30" s="12" t="s">
        <v>522</v>
      </c>
      <c r="AA30" s="12" t="s">
        <v>523</v>
      </c>
      <c r="AB30" s="12" t="s">
        <v>524</v>
      </c>
      <c r="AC30" s="12" t="s">
        <v>525</v>
      </c>
      <c r="AD30" s="12" t="s">
        <v>526</v>
      </c>
      <c r="AE30" s="12" t="s">
        <v>127</v>
      </c>
      <c r="AF30" s="12" t="s">
        <v>527</v>
      </c>
      <c r="AG30" s="12" t="s">
        <v>528</v>
      </c>
    </row>
    <row r="31" customFormat="false" ht="60" hidden="false" customHeight="true" outlineLevel="0" collapsed="false">
      <c r="A31" s="17" t="s">
        <v>279</v>
      </c>
      <c r="B31" s="16" t="n">
        <v>5</v>
      </c>
      <c r="C31" s="12" t="s">
        <v>13</v>
      </c>
      <c r="D31" s="11" t="s">
        <v>80</v>
      </c>
      <c r="E31" s="12" t="s">
        <v>511</v>
      </c>
      <c r="F31" s="12" t="s">
        <v>529</v>
      </c>
      <c r="G31" s="11"/>
      <c r="H31" s="12" t="s">
        <v>487</v>
      </c>
      <c r="I31" s="12" t="s">
        <v>134</v>
      </c>
      <c r="J31" s="19" t="s">
        <v>530</v>
      </c>
      <c r="K31" s="11" t="s">
        <v>531</v>
      </c>
      <c r="L31" s="11" t="s">
        <v>87</v>
      </c>
      <c r="M31" s="12" t="s">
        <v>284</v>
      </c>
      <c r="N31" s="12" t="s">
        <v>89</v>
      </c>
      <c r="O31" s="15" t="s">
        <v>532</v>
      </c>
      <c r="P31" s="11" t="s">
        <v>136</v>
      </c>
      <c r="Q31" s="12" t="s">
        <v>303</v>
      </c>
      <c r="R31" s="12" t="s">
        <v>516</v>
      </c>
      <c r="S31" s="12" t="s">
        <v>533</v>
      </c>
      <c r="T31" s="11" t="s">
        <v>183</v>
      </c>
      <c r="U31" s="11" t="s">
        <v>518</v>
      </c>
      <c r="V31" s="11" t="s">
        <v>97</v>
      </c>
      <c r="W31" s="12" t="s">
        <v>534</v>
      </c>
      <c r="X31" s="11" t="s">
        <v>520</v>
      </c>
      <c r="Y31" s="12" t="s">
        <v>535</v>
      </c>
      <c r="Z31" s="12" t="s">
        <v>101</v>
      </c>
      <c r="AA31" s="12" t="s">
        <v>536</v>
      </c>
      <c r="AB31" s="12" t="s">
        <v>537</v>
      </c>
      <c r="AC31" s="12" t="s">
        <v>538</v>
      </c>
      <c r="AD31" s="12" t="s">
        <v>539</v>
      </c>
      <c r="AE31" s="12" t="s">
        <v>127</v>
      </c>
      <c r="AF31" s="12" t="s">
        <v>540</v>
      </c>
      <c r="AG31" s="12" t="s">
        <v>541</v>
      </c>
    </row>
    <row r="32" customFormat="false" ht="60" hidden="false" customHeight="true" outlineLevel="0" collapsed="false">
      <c r="A32" s="17" t="s">
        <v>279</v>
      </c>
      <c r="B32" s="16" t="n">
        <v>5</v>
      </c>
      <c r="C32" s="12" t="s">
        <v>13</v>
      </c>
      <c r="D32" s="11" t="s">
        <v>80</v>
      </c>
      <c r="E32" s="12" t="s">
        <v>542</v>
      </c>
      <c r="F32" s="12" t="s">
        <v>543</v>
      </c>
      <c r="G32" s="11"/>
      <c r="H32" s="12" t="s">
        <v>544</v>
      </c>
      <c r="I32" s="12" t="s">
        <v>86</v>
      </c>
      <c r="J32" s="19" t="s">
        <v>530</v>
      </c>
      <c r="K32" s="11" t="s">
        <v>531</v>
      </c>
      <c r="L32" s="11" t="s">
        <v>87</v>
      </c>
      <c r="M32" s="12" t="s">
        <v>88</v>
      </c>
      <c r="N32" s="12" t="s">
        <v>89</v>
      </c>
      <c r="O32" s="15" t="s">
        <v>545</v>
      </c>
      <c r="P32" s="11" t="s">
        <v>136</v>
      </c>
      <c r="Q32" s="12" t="s">
        <v>546</v>
      </c>
      <c r="R32" s="12" t="s">
        <v>547</v>
      </c>
      <c r="S32" s="12" t="s">
        <v>94</v>
      </c>
      <c r="T32" s="11" t="s">
        <v>183</v>
      </c>
      <c r="U32" s="11" t="s">
        <v>139</v>
      </c>
      <c r="V32" s="11" t="s">
        <v>97</v>
      </c>
      <c r="W32" s="12" t="s">
        <v>548</v>
      </c>
      <c r="X32" s="11" t="s">
        <v>549</v>
      </c>
      <c r="Y32" s="12" t="s">
        <v>550</v>
      </c>
      <c r="Z32" s="12" t="s">
        <v>101</v>
      </c>
      <c r="AA32" s="12" t="s">
        <v>536</v>
      </c>
      <c r="AB32" s="12" t="s">
        <v>551</v>
      </c>
      <c r="AC32" s="12" t="s">
        <v>552</v>
      </c>
      <c r="AD32" s="12" t="s">
        <v>553</v>
      </c>
      <c r="AE32" s="12" t="s">
        <v>127</v>
      </c>
      <c r="AF32" s="12" t="s">
        <v>554</v>
      </c>
      <c r="AG32" s="12" t="s">
        <v>555</v>
      </c>
    </row>
    <row r="33" customFormat="false" ht="60" hidden="false" customHeight="true" outlineLevel="0" collapsed="false">
      <c r="A33" s="17" t="s">
        <v>279</v>
      </c>
      <c r="B33" s="16" t="n">
        <v>5</v>
      </c>
      <c r="C33" s="12" t="s">
        <v>237</v>
      </c>
      <c r="D33" s="11" t="s">
        <v>110</v>
      </c>
      <c r="E33" s="12" t="s">
        <v>206</v>
      </c>
      <c r="F33" s="12" t="s">
        <v>556</v>
      </c>
      <c r="G33" s="11"/>
      <c r="H33" s="12" t="s">
        <v>487</v>
      </c>
      <c r="I33" s="12" t="s">
        <v>134</v>
      </c>
      <c r="J33" s="20" t="s">
        <v>557</v>
      </c>
      <c r="K33" s="11" t="s">
        <v>86</v>
      </c>
      <c r="L33" s="11" t="s">
        <v>558</v>
      </c>
      <c r="M33" s="12" t="s">
        <v>301</v>
      </c>
      <c r="N33" s="12" t="s">
        <v>89</v>
      </c>
      <c r="O33" s="15" t="s">
        <v>559</v>
      </c>
      <c r="P33" s="11" t="s">
        <v>136</v>
      </c>
      <c r="Q33" s="12" t="s">
        <v>560</v>
      </c>
      <c r="R33" s="12" t="s">
        <v>212</v>
      </c>
      <c r="S33" s="12" t="s">
        <v>561</v>
      </c>
      <c r="T33" s="11" t="s">
        <v>95</v>
      </c>
      <c r="U33" s="11" t="s">
        <v>213</v>
      </c>
      <c r="V33" s="11" t="s">
        <v>97</v>
      </c>
      <c r="W33" s="12" t="s">
        <v>562</v>
      </c>
      <c r="X33" s="11" t="s">
        <v>86</v>
      </c>
      <c r="Y33" s="12" t="s">
        <v>563</v>
      </c>
      <c r="Z33" s="12" t="s">
        <v>101</v>
      </c>
      <c r="AA33" s="12" t="s">
        <v>102</v>
      </c>
      <c r="AB33" s="12" t="s">
        <v>564</v>
      </c>
      <c r="AC33" s="12" t="s">
        <v>565</v>
      </c>
      <c r="AD33" s="12" t="s">
        <v>566</v>
      </c>
      <c r="AE33" s="12" t="s">
        <v>106</v>
      </c>
      <c r="AF33" s="12" t="s">
        <v>567</v>
      </c>
      <c r="AG33" s="12" t="s">
        <v>568</v>
      </c>
    </row>
    <row r="34" customFormat="false" ht="60" hidden="false" customHeight="true" outlineLevel="0" collapsed="false">
      <c r="A34" s="17" t="s">
        <v>279</v>
      </c>
      <c r="B34" s="16" t="n">
        <v>5</v>
      </c>
      <c r="C34" s="12" t="s">
        <v>297</v>
      </c>
      <c r="D34" s="11" t="s">
        <v>110</v>
      </c>
      <c r="E34" s="12" t="s">
        <v>569</v>
      </c>
      <c r="F34" s="12" t="s">
        <v>570</v>
      </c>
      <c r="G34" s="11"/>
      <c r="H34" s="12" t="s">
        <v>487</v>
      </c>
      <c r="I34" s="12" t="s">
        <v>134</v>
      </c>
      <c r="J34" s="14" t="s">
        <v>85</v>
      </c>
      <c r="K34" s="11" t="s">
        <v>86</v>
      </c>
      <c r="L34" s="11" t="s">
        <v>87</v>
      </c>
      <c r="M34" s="12" t="s">
        <v>284</v>
      </c>
      <c r="N34" s="12" t="s">
        <v>571</v>
      </c>
      <c r="O34" s="15" t="s">
        <v>572</v>
      </c>
      <c r="P34" s="11" t="s">
        <v>136</v>
      </c>
      <c r="Q34" s="12" t="s">
        <v>573</v>
      </c>
      <c r="R34" s="12" t="s">
        <v>574</v>
      </c>
      <c r="S34" s="12" t="s">
        <v>575</v>
      </c>
      <c r="T34" s="11" t="s">
        <v>183</v>
      </c>
      <c r="U34" s="11" t="s">
        <v>96</v>
      </c>
      <c r="V34" s="11" t="s">
        <v>97</v>
      </c>
      <c r="W34" s="12" t="s">
        <v>576</v>
      </c>
      <c r="X34" s="11" t="s">
        <v>577</v>
      </c>
      <c r="Y34" s="12" t="s">
        <v>578</v>
      </c>
      <c r="Z34" s="12" t="s">
        <v>101</v>
      </c>
      <c r="AA34" s="12" t="s">
        <v>310</v>
      </c>
      <c r="AB34" s="12" t="s">
        <v>579</v>
      </c>
      <c r="AC34" s="12" t="s">
        <v>580</v>
      </c>
      <c r="AD34" s="12" t="s">
        <v>581</v>
      </c>
      <c r="AE34" s="12" t="s">
        <v>106</v>
      </c>
      <c r="AF34" s="12" t="s">
        <v>582</v>
      </c>
      <c r="AG34" s="12" t="s">
        <v>583</v>
      </c>
    </row>
    <row r="35" customFormat="false" ht="60" hidden="false" customHeight="true" outlineLevel="0" collapsed="false">
      <c r="A35" s="17" t="s">
        <v>279</v>
      </c>
      <c r="B35" s="16" t="n">
        <v>5</v>
      </c>
      <c r="C35" s="12" t="s">
        <v>297</v>
      </c>
      <c r="D35" s="11" t="s">
        <v>110</v>
      </c>
      <c r="E35" s="12" t="s">
        <v>584</v>
      </c>
      <c r="F35" s="12" t="s">
        <v>585</v>
      </c>
      <c r="G35" s="11"/>
      <c r="H35" s="12" t="s">
        <v>487</v>
      </c>
      <c r="I35" s="12" t="s">
        <v>134</v>
      </c>
      <c r="J35" s="14" t="s">
        <v>85</v>
      </c>
      <c r="K35" s="11" t="s">
        <v>86</v>
      </c>
      <c r="L35" s="11" t="s">
        <v>87</v>
      </c>
      <c r="M35" s="12" t="s">
        <v>284</v>
      </c>
      <c r="N35" s="12" t="s">
        <v>586</v>
      </c>
      <c r="O35" s="15" t="s">
        <v>587</v>
      </c>
      <c r="P35" s="11" t="s">
        <v>136</v>
      </c>
      <c r="Q35" s="12" t="s">
        <v>588</v>
      </c>
      <c r="R35" s="12" t="s">
        <v>304</v>
      </c>
      <c r="S35" s="12" t="s">
        <v>589</v>
      </c>
      <c r="T35" s="11" t="s">
        <v>183</v>
      </c>
      <c r="U35" s="11" t="s">
        <v>96</v>
      </c>
      <c r="V35" s="11" t="s">
        <v>97</v>
      </c>
      <c r="W35" s="12" t="s">
        <v>590</v>
      </c>
      <c r="X35" s="11" t="s">
        <v>591</v>
      </c>
      <c r="Y35" s="12" t="s">
        <v>592</v>
      </c>
      <c r="Z35" s="12" t="s">
        <v>101</v>
      </c>
      <c r="AA35" s="12" t="s">
        <v>310</v>
      </c>
      <c r="AB35" s="12" t="s">
        <v>593</v>
      </c>
      <c r="AC35" s="12" t="s">
        <v>594</v>
      </c>
      <c r="AD35" s="12" t="s">
        <v>595</v>
      </c>
      <c r="AE35" s="12" t="s">
        <v>596</v>
      </c>
      <c r="AF35" s="12" t="s">
        <v>597</v>
      </c>
      <c r="AG35" s="12" t="s">
        <v>598</v>
      </c>
    </row>
    <row r="36" customFormat="false" ht="60" hidden="false" customHeight="true" outlineLevel="0" collapsed="false">
      <c r="A36" s="17" t="s">
        <v>279</v>
      </c>
      <c r="B36" s="16" t="n">
        <v>5</v>
      </c>
      <c r="C36" s="12" t="s">
        <v>297</v>
      </c>
      <c r="D36" s="11" t="s">
        <v>110</v>
      </c>
      <c r="E36" s="12" t="s">
        <v>599</v>
      </c>
      <c r="F36" s="12" t="s">
        <v>600</v>
      </c>
      <c r="G36" s="11"/>
      <c r="H36" s="12" t="s">
        <v>487</v>
      </c>
      <c r="I36" s="12" t="s">
        <v>134</v>
      </c>
      <c r="J36" s="14" t="s">
        <v>85</v>
      </c>
      <c r="K36" s="11" t="s">
        <v>86</v>
      </c>
      <c r="L36" s="11" t="s">
        <v>87</v>
      </c>
      <c r="M36" s="12" t="s">
        <v>284</v>
      </c>
      <c r="N36" s="12" t="s">
        <v>89</v>
      </c>
      <c r="O36" s="15" t="s">
        <v>601</v>
      </c>
      <c r="P36" s="11" t="s">
        <v>136</v>
      </c>
      <c r="Q36" s="12" t="s">
        <v>602</v>
      </c>
      <c r="R36" s="12" t="s">
        <v>603</v>
      </c>
      <c r="S36" s="12" t="s">
        <v>604</v>
      </c>
      <c r="T36" s="11" t="s">
        <v>183</v>
      </c>
      <c r="U36" s="11" t="s">
        <v>96</v>
      </c>
      <c r="V36" s="11" t="s">
        <v>97</v>
      </c>
      <c r="W36" s="12" t="s">
        <v>605</v>
      </c>
      <c r="X36" s="11" t="s">
        <v>606</v>
      </c>
      <c r="Y36" s="12" t="s">
        <v>607</v>
      </c>
      <c r="Z36" s="12" t="s">
        <v>101</v>
      </c>
      <c r="AA36" s="12" t="s">
        <v>310</v>
      </c>
      <c r="AB36" s="12" t="s">
        <v>608</v>
      </c>
      <c r="AC36" s="12" t="s">
        <v>609</v>
      </c>
      <c r="AD36" s="12" t="s">
        <v>610</v>
      </c>
      <c r="AE36" s="12" t="s">
        <v>106</v>
      </c>
      <c r="AF36" s="12" t="s">
        <v>611</v>
      </c>
      <c r="AG36" s="12" t="s">
        <v>612</v>
      </c>
    </row>
    <row r="37" customFormat="false" ht="60" hidden="false" customHeight="true" outlineLevel="0" collapsed="false">
      <c r="A37" s="17" t="s">
        <v>279</v>
      </c>
      <c r="B37" s="16" t="n">
        <v>5</v>
      </c>
      <c r="C37" s="12" t="s">
        <v>13</v>
      </c>
      <c r="D37" s="11" t="s">
        <v>80</v>
      </c>
      <c r="E37" s="12" t="s">
        <v>613</v>
      </c>
      <c r="F37" s="12" t="s">
        <v>614</v>
      </c>
      <c r="G37" s="11"/>
      <c r="H37" s="12" t="s">
        <v>487</v>
      </c>
      <c r="I37" s="12" t="s">
        <v>134</v>
      </c>
      <c r="J37" s="14" t="s">
        <v>85</v>
      </c>
      <c r="K37" s="11" t="s">
        <v>86</v>
      </c>
      <c r="L37" s="11" t="s">
        <v>87</v>
      </c>
      <c r="M37" s="12" t="s">
        <v>88</v>
      </c>
      <c r="N37" s="12" t="s">
        <v>89</v>
      </c>
      <c r="O37" s="15" t="s">
        <v>615</v>
      </c>
      <c r="P37" s="11" t="s">
        <v>136</v>
      </c>
      <c r="Q37" s="12" t="s">
        <v>616</v>
      </c>
      <c r="R37" s="12" t="s">
        <v>617</v>
      </c>
      <c r="S37" s="12" t="s">
        <v>94</v>
      </c>
      <c r="T37" s="11" t="s">
        <v>183</v>
      </c>
      <c r="U37" s="11" t="s">
        <v>96</v>
      </c>
      <c r="V37" s="11" t="s">
        <v>97</v>
      </c>
      <c r="W37" s="12" t="s">
        <v>618</v>
      </c>
      <c r="X37" s="11" t="s">
        <v>324</v>
      </c>
      <c r="Y37" s="12" t="s">
        <v>619</v>
      </c>
      <c r="Z37" s="12" t="s">
        <v>101</v>
      </c>
      <c r="AA37" s="12" t="s">
        <v>102</v>
      </c>
      <c r="AB37" s="12" t="s">
        <v>620</v>
      </c>
      <c r="AC37" s="12" t="s">
        <v>621</v>
      </c>
      <c r="AD37" s="12" t="s">
        <v>622</v>
      </c>
      <c r="AE37" s="12" t="s">
        <v>127</v>
      </c>
      <c r="AF37" s="12" t="s">
        <v>623</v>
      </c>
      <c r="AG37" s="12" t="s">
        <v>624</v>
      </c>
    </row>
    <row r="38" customFormat="false" ht="60" hidden="false" customHeight="true" outlineLevel="0" collapsed="false">
      <c r="A38" s="17" t="s">
        <v>279</v>
      </c>
      <c r="B38" s="16" t="n">
        <v>5</v>
      </c>
      <c r="C38" s="12" t="s">
        <v>297</v>
      </c>
      <c r="D38" s="11" t="s">
        <v>110</v>
      </c>
      <c r="E38" s="12" t="s">
        <v>625</v>
      </c>
      <c r="F38" s="12" t="s">
        <v>626</v>
      </c>
      <c r="G38" s="11"/>
      <c r="H38" s="12" t="s">
        <v>544</v>
      </c>
      <c r="I38" s="12" t="s">
        <v>86</v>
      </c>
      <c r="J38" s="14" t="s">
        <v>85</v>
      </c>
      <c r="K38" s="11" t="s">
        <v>86</v>
      </c>
      <c r="L38" s="11" t="s">
        <v>87</v>
      </c>
      <c r="M38" s="12" t="s">
        <v>284</v>
      </c>
      <c r="N38" s="12" t="s">
        <v>89</v>
      </c>
      <c r="O38" s="15" t="s">
        <v>627</v>
      </c>
      <c r="P38" s="11" t="s">
        <v>628</v>
      </c>
      <c r="Q38" s="12" t="s">
        <v>629</v>
      </c>
      <c r="R38" s="12" t="s">
        <v>630</v>
      </c>
      <c r="S38" s="12" t="s">
        <v>631</v>
      </c>
      <c r="T38" s="11" t="s">
        <v>183</v>
      </c>
      <c r="U38" s="11" t="s">
        <v>184</v>
      </c>
      <c r="V38" s="11" t="s">
        <v>97</v>
      </c>
      <c r="W38" s="12" t="s">
        <v>632</v>
      </c>
      <c r="X38" s="11" t="s">
        <v>633</v>
      </c>
      <c r="Y38" s="12" t="s">
        <v>634</v>
      </c>
      <c r="Z38" s="12" t="s">
        <v>101</v>
      </c>
      <c r="AA38" s="12" t="s">
        <v>310</v>
      </c>
      <c r="AB38" s="12" t="s">
        <v>635</v>
      </c>
      <c r="AC38" s="12" t="s">
        <v>636</v>
      </c>
      <c r="AD38" s="12" t="s">
        <v>637</v>
      </c>
      <c r="AE38" s="12" t="s">
        <v>106</v>
      </c>
      <c r="AF38" s="12" t="s">
        <v>638</v>
      </c>
      <c r="AG38" s="12" t="s">
        <v>639</v>
      </c>
    </row>
    <row r="39" customFormat="false" ht="60" hidden="false" customHeight="true" outlineLevel="0" collapsed="false">
      <c r="A39" s="17" t="s">
        <v>279</v>
      </c>
      <c r="B39" s="16" t="n">
        <v>5</v>
      </c>
      <c r="C39" s="12" t="s">
        <v>297</v>
      </c>
      <c r="D39" s="11" t="s">
        <v>110</v>
      </c>
      <c r="E39" s="12" t="s">
        <v>640</v>
      </c>
      <c r="F39" s="12" t="s">
        <v>641</v>
      </c>
      <c r="G39" s="11"/>
      <c r="H39" s="12" t="s">
        <v>487</v>
      </c>
      <c r="I39" s="12" t="s">
        <v>134</v>
      </c>
      <c r="J39" s="14" t="s">
        <v>113</v>
      </c>
      <c r="K39" s="11" t="s">
        <v>86</v>
      </c>
      <c r="L39" s="11" t="s">
        <v>114</v>
      </c>
      <c r="M39" s="12" t="s">
        <v>333</v>
      </c>
      <c r="N39" s="12" t="s">
        <v>89</v>
      </c>
      <c r="O39" s="15" t="s">
        <v>642</v>
      </c>
      <c r="P39" s="11" t="s">
        <v>136</v>
      </c>
      <c r="Q39" s="12" t="s">
        <v>643</v>
      </c>
      <c r="R39" s="12" t="s">
        <v>644</v>
      </c>
      <c r="S39" s="12" t="s">
        <v>645</v>
      </c>
      <c r="T39" s="11" t="s">
        <v>183</v>
      </c>
      <c r="U39" s="11" t="s">
        <v>198</v>
      </c>
      <c r="V39" s="11" t="s">
        <v>97</v>
      </c>
      <c r="W39" s="12" t="s">
        <v>646</v>
      </c>
      <c r="X39" s="11" t="s">
        <v>647</v>
      </c>
      <c r="Y39" s="12" t="s">
        <v>648</v>
      </c>
      <c r="Z39" s="12" t="s">
        <v>101</v>
      </c>
      <c r="AA39" s="12" t="s">
        <v>310</v>
      </c>
      <c r="AB39" s="12" t="s">
        <v>649</v>
      </c>
      <c r="AC39" s="12" t="s">
        <v>650</v>
      </c>
      <c r="AD39" s="12" t="s">
        <v>651</v>
      </c>
      <c r="AE39" s="12" t="s">
        <v>127</v>
      </c>
      <c r="AF39" s="12" t="s">
        <v>652</v>
      </c>
      <c r="AG39" s="12" t="s">
        <v>653</v>
      </c>
    </row>
    <row r="40" customFormat="false" ht="60" hidden="false" customHeight="true" outlineLevel="0" collapsed="false">
      <c r="A40" s="17" t="s">
        <v>279</v>
      </c>
      <c r="B40" s="16" t="n">
        <v>5</v>
      </c>
      <c r="C40" s="12" t="s">
        <v>13</v>
      </c>
      <c r="D40" s="11" t="s">
        <v>80</v>
      </c>
      <c r="E40" s="12" t="s">
        <v>654</v>
      </c>
      <c r="F40" s="12" t="s">
        <v>655</v>
      </c>
      <c r="G40" s="11"/>
      <c r="H40" s="12" t="s">
        <v>487</v>
      </c>
      <c r="I40" s="12" t="s">
        <v>134</v>
      </c>
      <c r="J40" s="14" t="s">
        <v>85</v>
      </c>
      <c r="K40" s="11" t="s">
        <v>86</v>
      </c>
      <c r="L40" s="11" t="s">
        <v>87</v>
      </c>
      <c r="M40" s="12" t="s">
        <v>656</v>
      </c>
      <c r="N40" s="12" t="s">
        <v>89</v>
      </c>
      <c r="O40" s="15" t="s">
        <v>657</v>
      </c>
      <c r="P40" s="11" t="s">
        <v>136</v>
      </c>
      <c r="Q40" s="12" t="s">
        <v>658</v>
      </c>
      <c r="R40" s="12" t="s">
        <v>659</v>
      </c>
      <c r="S40" s="12" t="s">
        <v>660</v>
      </c>
      <c r="T40" s="11" t="s">
        <v>183</v>
      </c>
      <c r="U40" s="11" t="s">
        <v>168</v>
      </c>
      <c r="V40" s="11" t="s">
        <v>97</v>
      </c>
      <c r="W40" s="12" t="s">
        <v>661</v>
      </c>
      <c r="X40" s="11" t="s">
        <v>662</v>
      </c>
      <c r="Y40" s="12" t="s">
        <v>663</v>
      </c>
      <c r="Z40" s="12" t="s">
        <v>101</v>
      </c>
      <c r="AA40" s="12" t="s">
        <v>102</v>
      </c>
      <c r="AB40" s="12" t="s">
        <v>664</v>
      </c>
      <c r="AC40" s="12" t="s">
        <v>665</v>
      </c>
      <c r="AD40" s="12" t="s">
        <v>666</v>
      </c>
      <c r="AE40" s="12" t="s">
        <v>106</v>
      </c>
      <c r="AF40" s="12" t="s">
        <v>667</v>
      </c>
      <c r="AG40" s="12" t="s">
        <v>668</v>
      </c>
    </row>
    <row r="41" customFormat="false" ht="60" hidden="false" customHeight="true" outlineLevel="0" collapsed="false">
      <c r="A41" s="17" t="s">
        <v>279</v>
      </c>
      <c r="B41" s="16" t="n">
        <v>5</v>
      </c>
      <c r="C41" s="12" t="s">
        <v>13</v>
      </c>
      <c r="D41" s="11" t="s">
        <v>80</v>
      </c>
      <c r="E41" s="12" t="s">
        <v>669</v>
      </c>
      <c r="F41" s="12" t="s">
        <v>670</v>
      </c>
      <c r="G41" s="11"/>
      <c r="H41" s="12" t="s">
        <v>487</v>
      </c>
      <c r="I41" s="12" t="s">
        <v>134</v>
      </c>
      <c r="J41" s="14" t="s">
        <v>113</v>
      </c>
      <c r="K41" s="11" t="s">
        <v>86</v>
      </c>
      <c r="L41" s="11" t="s">
        <v>114</v>
      </c>
      <c r="M41" s="12" t="s">
        <v>88</v>
      </c>
      <c r="N41" s="12" t="s">
        <v>89</v>
      </c>
      <c r="O41" s="15" t="s">
        <v>671</v>
      </c>
      <c r="P41" s="11" t="s">
        <v>91</v>
      </c>
      <c r="Q41" s="12" t="s">
        <v>672</v>
      </c>
      <c r="R41" s="12" t="s">
        <v>673</v>
      </c>
      <c r="S41" s="12" t="s">
        <v>674</v>
      </c>
      <c r="T41" s="11" t="s">
        <v>183</v>
      </c>
      <c r="U41" s="11" t="s">
        <v>518</v>
      </c>
      <c r="V41" s="11" t="s">
        <v>97</v>
      </c>
      <c r="W41" s="12" t="s">
        <v>675</v>
      </c>
      <c r="X41" s="11" t="s">
        <v>676</v>
      </c>
      <c r="Y41" s="12" t="s">
        <v>677</v>
      </c>
      <c r="Z41" s="12" t="s">
        <v>101</v>
      </c>
      <c r="AA41" s="12" t="s">
        <v>102</v>
      </c>
      <c r="AB41" s="12" t="s">
        <v>678</v>
      </c>
      <c r="AC41" s="12" t="s">
        <v>679</v>
      </c>
      <c r="AD41" s="12" t="s">
        <v>680</v>
      </c>
      <c r="AE41" s="12" t="s">
        <v>127</v>
      </c>
      <c r="AF41" s="12" t="s">
        <v>681</v>
      </c>
      <c r="AG41" s="12" t="s">
        <v>682</v>
      </c>
    </row>
    <row r="42" customFormat="false" ht="60" hidden="false" customHeight="true" outlineLevel="0" collapsed="false">
      <c r="A42" s="17" t="s">
        <v>279</v>
      </c>
      <c r="B42" s="16" t="n">
        <v>5</v>
      </c>
      <c r="C42" s="12" t="s">
        <v>297</v>
      </c>
      <c r="D42" s="11" t="s">
        <v>110</v>
      </c>
      <c r="E42" s="12" t="s">
        <v>683</v>
      </c>
      <c r="F42" s="12" t="s">
        <v>684</v>
      </c>
      <c r="G42" s="11"/>
      <c r="H42" s="12" t="s">
        <v>487</v>
      </c>
      <c r="I42" s="12" t="s">
        <v>134</v>
      </c>
      <c r="J42" s="14" t="s">
        <v>685</v>
      </c>
      <c r="K42" s="11" t="s">
        <v>86</v>
      </c>
      <c r="L42" s="11" t="s">
        <v>686</v>
      </c>
      <c r="M42" s="12" t="s">
        <v>301</v>
      </c>
      <c r="N42" s="12" t="s">
        <v>89</v>
      </c>
      <c r="O42" s="15" t="s">
        <v>687</v>
      </c>
      <c r="P42" s="11" t="s">
        <v>91</v>
      </c>
      <c r="Q42" s="12" t="s">
        <v>688</v>
      </c>
      <c r="R42" s="12" t="s">
        <v>304</v>
      </c>
      <c r="S42" s="12" t="s">
        <v>689</v>
      </c>
      <c r="T42" s="11" t="s">
        <v>95</v>
      </c>
      <c r="U42" s="11" t="s">
        <v>690</v>
      </c>
      <c r="V42" s="11" t="s">
        <v>97</v>
      </c>
      <c r="W42" s="12" t="s">
        <v>691</v>
      </c>
      <c r="X42" s="11" t="s">
        <v>692</v>
      </c>
      <c r="Y42" s="12" t="s">
        <v>693</v>
      </c>
      <c r="Z42" s="12" t="s">
        <v>101</v>
      </c>
      <c r="AA42" s="12" t="s">
        <v>310</v>
      </c>
      <c r="AB42" s="12" t="s">
        <v>694</v>
      </c>
      <c r="AC42" s="12" t="s">
        <v>695</v>
      </c>
      <c r="AD42" s="12" t="s">
        <v>696</v>
      </c>
      <c r="AE42" s="12" t="s">
        <v>596</v>
      </c>
      <c r="AF42" s="12" t="s">
        <v>697</v>
      </c>
      <c r="AG42" s="12" t="s">
        <v>698</v>
      </c>
    </row>
    <row r="43" customFormat="false" ht="60" hidden="false" customHeight="true" outlineLevel="0" collapsed="false">
      <c r="A43" s="17" t="s">
        <v>279</v>
      </c>
      <c r="B43" s="16" t="n">
        <v>5</v>
      </c>
      <c r="C43" s="12" t="s">
        <v>297</v>
      </c>
      <c r="D43" s="11" t="s">
        <v>110</v>
      </c>
      <c r="E43" s="12" t="s">
        <v>699</v>
      </c>
      <c r="F43" s="12" t="s">
        <v>700</v>
      </c>
      <c r="G43" s="11"/>
      <c r="H43" s="12" t="s">
        <v>487</v>
      </c>
      <c r="I43" s="12" t="s">
        <v>134</v>
      </c>
      <c r="J43" s="14" t="s">
        <v>85</v>
      </c>
      <c r="K43" s="11" t="s">
        <v>86</v>
      </c>
      <c r="L43" s="11" t="s">
        <v>87</v>
      </c>
      <c r="M43" s="12" t="s">
        <v>284</v>
      </c>
      <c r="N43" s="12" t="s">
        <v>89</v>
      </c>
      <c r="O43" s="15" t="s">
        <v>701</v>
      </c>
      <c r="P43" s="11" t="s">
        <v>91</v>
      </c>
      <c r="Q43" s="12" t="s">
        <v>702</v>
      </c>
      <c r="R43" s="12" t="s">
        <v>304</v>
      </c>
      <c r="S43" s="12" t="s">
        <v>703</v>
      </c>
      <c r="T43" s="11" t="s">
        <v>95</v>
      </c>
      <c r="U43" s="11" t="s">
        <v>704</v>
      </c>
      <c r="V43" s="11" t="s">
        <v>97</v>
      </c>
      <c r="W43" s="12" t="s">
        <v>705</v>
      </c>
      <c r="X43" s="11" t="s">
        <v>706</v>
      </c>
      <c r="Y43" s="12" t="s">
        <v>707</v>
      </c>
      <c r="Z43" s="12" t="s">
        <v>101</v>
      </c>
      <c r="AA43" s="12" t="s">
        <v>310</v>
      </c>
      <c r="AB43" s="12" t="s">
        <v>708</v>
      </c>
      <c r="AC43" s="12" t="s">
        <v>709</v>
      </c>
      <c r="AD43" s="12" t="s">
        <v>710</v>
      </c>
      <c r="AE43" s="12" t="s">
        <v>106</v>
      </c>
      <c r="AF43" s="12" t="s">
        <v>711</v>
      </c>
      <c r="AG43" s="12" t="s">
        <v>712</v>
      </c>
    </row>
    <row r="44" customFormat="false" ht="60" hidden="false" customHeight="true" outlineLevel="0" collapsed="false">
      <c r="A44" s="17" t="s">
        <v>279</v>
      </c>
      <c r="B44" s="16" t="n">
        <v>5</v>
      </c>
      <c r="C44" s="12" t="s">
        <v>297</v>
      </c>
      <c r="D44" s="11" t="s">
        <v>110</v>
      </c>
      <c r="E44" s="12" t="s">
        <v>713</v>
      </c>
      <c r="F44" s="12" t="s">
        <v>714</v>
      </c>
      <c r="G44" s="11"/>
      <c r="H44" s="12" t="s">
        <v>487</v>
      </c>
      <c r="I44" s="12" t="s">
        <v>134</v>
      </c>
      <c r="J44" s="14" t="s">
        <v>85</v>
      </c>
      <c r="K44" s="11" t="s">
        <v>86</v>
      </c>
      <c r="L44" s="11" t="s">
        <v>87</v>
      </c>
      <c r="M44" s="12" t="s">
        <v>284</v>
      </c>
      <c r="N44" s="12" t="s">
        <v>89</v>
      </c>
      <c r="O44" s="15" t="s">
        <v>715</v>
      </c>
      <c r="P44" s="11" t="s">
        <v>136</v>
      </c>
      <c r="Q44" s="12" t="s">
        <v>716</v>
      </c>
      <c r="R44" s="12" t="s">
        <v>717</v>
      </c>
      <c r="S44" s="12" t="s">
        <v>718</v>
      </c>
      <c r="T44" s="11" t="s">
        <v>183</v>
      </c>
      <c r="U44" s="11" t="s">
        <v>704</v>
      </c>
      <c r="V44" s="11" t="s">
        <v>97</v>
      </c>
      <c r="W44" s="12" t="s">
        <v>719</v>
      </c>
      <c r="X44" s="11" t="s">
        <v>720</v>
      </c>
      <c r="Y44" s="12" t="s">
        <v>721</v>
      </c>
      <c r="Z44" s="12" t="s">
        <v>101</v>
      </c>
      <c r="AA44" s="12" t="s">
        <v>310</v>
      </c>
      <c r="AB44" s="12" t="s">
        <v>722</v>
      </c>
      <c r="AC44" s="12" t="s">
        <v>723</v>
      </c>
      <c r="AD44" s="12" t="s">
        <v>724</v>
      </c>
      <c r="AE44" s="12" t="s">
        <v>106</v>
      </c>
      <c r="AF44" s="12" t="s">
        <v>725</v>
      </c>
      <c r="AG44" s="12" t="s">
        <v>726</v>
      </c>
    </row>
    <row r="45" customFormat="false" ht="60" hidden="false" customHeight="true" outlineLevel="0" collapsed="false">
      <c r="A45" s="17" t="s">
        <v>279</v>
      </c>
      <c r="B45" s="16" t="n">
        <v>5</v>
      </c>
      <c r="C45" s="12" t="s">
        <v>109</v>
      </c>
      <c r="D45" s="11" t="s">
        <v>110</v>
      </c>
      <c r="E45" s="12" t="s">
        <v>131</v>
      </c>
      <c r="F45" s="12" t="s">
        <v>727</v>
      </c>
      <c r="G45" s="11"/>
      <c r="H45" s="12" t="s">
        <v>544</v>
      </c>
      <c r="I45" s="12" t="s">
        <v>86</v>
      </c>
      <c r="J45" s="18" t="s">
        <v>513</v>
      </c>
      <c r="K45" s="11" t="s">
        <v>514</v>
      </c>
      <c r="L45" s="11" t="s">
        <v>87</v>
      </c>
      <c r="M45" s="12" t="s">
        <v>301</v>
      </c>
      <c r="N45" s="12" t="s">
        <v>89</v>
      </c>
      <c r="O45" s="15" t="s">
        <v>728</v>
      </c>
      <c r="P45" s="11" t="s">
        <v>628</v>
      </c>
      <c r="Q45" s="12" t="s">
        <v>729</v>
      </c>
      <c r="R45" s="12" t="s">
        <v>138</v>
      </c>
      <c r="S45" s="12" t="s">
        <v>730</v>
      </c>
      <c r="T45" s="11" t="s">
        <v>95</v>
      </c>
      <c r="U45" s="11" t="s">
        <v>139</v>
      </c>
      <c r="V45" s="11" t="s">
        <v>97</v>
      </c>
      <c r="W45" s="12" t="s">
        <v>731</v>
      </c>
      <c r="X45" s="11" t="s">
        <v>86</v>
      </c>
      <c r="Y45" s="12" t="s">
        <v>732</v>
      </c>
      <c r="Z45" s="12" t="s">
        <v>522</v>
      </c>
      <c r="AA45" s="12" t="s">
        <v>523</v>
      </c>
      <c r="AB45" s="12" t="s">
        <v>733</v>
      </c>
      <c r="AC45" s="12" t="s">
        <v>734</v>
      </c>
      <c r="AD45" s="12" t="s">
        <v>735</v>
      </c>
      <c r="AE45" s="12" t="s">
        <v>106</v>
      </c>
      <c r="AF45" s="12"/>
      <c r="AG45" s="12" t="s">
        <v>736</v>
      </c>
    </row>
    <row r="46" customFormat="false" ht="60" hidden="false" customHeight="true" outlineLevel="0" collapsed="false">
      <c r="A46" s="17" t="s">
        <v>279</v>
      </c>
      <c r="B46" s="16" t="n">
        <v>5</v>
      </c>
      <c r="C46" s="12" t="s">
        <v>297</v>
      </c>
      <c r="D46" s="11" t="s">
        <v>110</v>
      </c>
      <c r="E46" s="12" t="s">
        <v>737</v>
      </c>
      <c r="F46" s="12" t="s">
        <v>738</v>
      </c>
      <c r="G46" s="11"/>
      <c r="H46" s="12" t="s">
        <v>544</v>
      </c>
      <c r="I46" s="12" t="s">
        <v>86</v>
      </c>
      <c r="J46" s="14" t="s">
        <v>85</v>
      </c>
      <c r="K46" s="11" t="s">
        <v>86</v>
      </c>
      <c r="L46" s="11" t="s">
        <v>87</v>
      </c>
      <c r="M46" s="12" t="s">
        <v>333</v>
      </c>
      <c r="N46" s="12" t="s">
        <v>89</v>
      </c>
      <c r="O46" s="15" t="s">
        <v>739</v>
      </c>
      <c r="P46" s="11" t="s">
        <v>136</v>
      </c>
      <c r="Q46" s="12" t="s">
        <v>740</v>
      </c>
      <c r="R46" s="12" t="s">
        <v>741</v>
      </c>
      <c r="S46" s="12" t="s">
        <v>742</v>
      </c>
      <c r="T46" s="11" t="s">
        <v>183</v>
      </c>
      <c r="U46" s="11" t="s">
        <v>743</v>
      </c>
      <c r="V46" s="11" t="s">
        <v>97</v>
      </c>
      <c r="W46" s="12" t="s">
        <v>744</v>
      </c>
      <c r="X46" s="11" t="s">
        <v>745</v>
      </c>
      <c r="Y46" s="12" t="s">
        <v>746</v>
      </c>
      <c r="Z46" s="12" t="s">
        <v>101</v>
      </c>
      <c r="AA46" s="12" t="s">
        <v>310</v>
      </c>
      <c r="AB46" s="12" t="s">
        <v>747</v>
      </c>
      <c r="AC46" s="12" t="s">
        <v>748</v>
      </c>
      <c r="AD46" s="12" t="s">
        <v>749</v>
      </c>
      <c r="AE46" s="12" t="s">
        <v>106</v>
      </c>
      <c r="AF46" s="12" t="s">
        <v>750</v>
      </c>
      <c r="AG46" s="12" t="s">
        <v>751</v>
      </c>
    </row>
    <row r="47" customFormat="false" ht="60" hidden="false" customHeight="true" outlineLevel="0" collapsed="false">
      <c r="A47" s="17" t="s">
        <v>279</v>
      </c>
      <c r="B47" s="16" t="n">
        <v>5</v>
      </c>
      <c r="C47" s="12" t="s">
        <v>13</v>
      </c>
      <c r="D47" s="11" t="s">
        <v>80</v>
      </c>
      <c r="E47" s="12" t="s">
        <v>752</v>
      </c>
      <c r="F47" s="12" t="s">
        <v>753</v>
      </c>
      <c r="G47" s="11"/>
      <c r="H47" s="12" t="s">
        <v>544</v>
      </c>
      <c r="I47" s="12" t="s">
        <v>86</v>
      </c>
      <c r="J47" s="14" t="s">
        <v>85</v>
      </c>
      <c r="K47" s="11" t="s">
        <v>86</v>
      </c>
      <c r="L47" s="11" t="s">
        <v>87</v>
      </c>
      <c r="M47" s="12" t="s">
        <v>301</v>
      </c>
      <c r="N47" s="12" t="s">
        <v>89</v>
      </c>
      <c r="O47" s="15" t="s">
        <v>754</v>
      </c>
      <c r="P47" s="11" t="s">
        <v>628</v>
      </c>
      <c r="Q47" s="12" t="s">
        <v>729</v>
      </c>
      <c r="R47" s="12" t="s">
        <v>755</v>
      </c>
      <c r="S47" s="12" t="s">
        <v>756</v>
      </c>
      <c r="T47" s="11" t="s">
        <v>95</v>
      </c>
      <c r="U47" s="11" t="s">
        <v>198</v>
      </c>
      <c r="V47" s="11" t="s">
        <v>97</v>
      </c>
      <c r="W47" s="12" t="s">
        <v>757</v>
      </c>
      <c r="X47" s="11" t="s">
        <v>86</v>
      </c>
      <c r="Y47" s="12" t="s">
        <v>758</v>
      </c>
      <c r="Z47" s="12" t="s">
        <v>101</v>
      </c>
      <c r="AA47" s="12" t="s">
        <v>102</v>
      </c>
      <c r="AB47" s="12" t="s">
        <v>759</v>
      </c>
      <c r="AC47" s="12" t="s">
        <v>760</v>
      </c>
      <c r="AD47" s="12" t="s">
        <v>761</v>
      </c>
      <c r="AE47" s="12" t="s">
        <v>106</v>
      </c>
      <c r="AF47" s="12" t="s">
        <v>762</v>
      </c>
      <c r="AG47" s="12" t="s">
        <v>763</v>
      </c>
    </row>
    <row r="48" customFormat="false" ht="60" hidden="false" customHeight="true" outlineLevel="0" collapsed="false">
      <c r="A48" s="17" t="s">
        <v>279</v>
      </c>
      <c r="B48" s="16" t="n">
        <v>5</v>
      </c>
      <c r="C48" s="12" t="s">
        <v>297</v>
      </c>
      <c r="D48" s="11" t="s">
        <v>110</v>
      </c>
      <c r="E48" s="12" t="s">
        <v>752</v>
      </c>
      <c r="F48" s="12" t="s">
        <v>764</v>
      </c>
      <c r="G48" s="11"/>
      <c r="H48" s="12" t="s">
        <v>487</v>
      </c>
      <c r="I48" s="12" t="s">
        <v>134</v>
      </c>
      <c r="J48" s="14" t="s">
        <v>85</v>
      </c>
      <c r="K48" s="11" t="s">
        <v>86</v>
      </c>
      <c r="L48" s="11" t="s">
        <v>87</v>
      </c>
      <c r="M48" s="12" t="s">
        <v>301</v>
      </c>
      <c r="N48" s="12" t="s">
        <v>89</v>
      </c>
      <c r="O48" s="15" t="s">
        <v>765</v>
      </c>
      <c r="P48" s="11" t="s">
        <v>628</v>
      </c>
      <c r="Q48" s="12" t="s">
        <v>729</v>
      </c>
      <c r="R48" s="12" t="s">
        <v>755</v>
      </c>
      <c r="S48" s="12" t="s">
        <v>766</v>
      </c>
      <c r="T48" s="11" t="s">
        <v>95</v>
      </c>
      <c r="U48" s="11" t="s">
        <v>198</v>
      </c>
      <c r="V48" s="11" t="s">
        <v>97</v>
      </c>
      <c r="W48" s="12" t="s">
        <v>767</v>
      </c>
      <c r="X48" s="11" t="s">
        <v>86</v>
      </c>
      <c r="Y48" s="12" t="s">
        <v>768</v>
      </c>
      <c r="Z48" s="12" t="s">
        <v>101</v>
      </c>
      <c r="AA48" s="12" t="s">
        <v>310</v>
      </c>
      <c r="AB48" s="12" t="s">
        <v>769</v>
      </c>
      <c r="AC48" s="12" t="s">
        <v>770</v>
      </c>
      <c r="AD48" s="12" t="s">
        <v>771</v>
      </c>
      <c r="AE48" s="12" t="s">
        <v>596</v>
      </c>
      <c r="AF48" s="12" t="s">
        <v>772</v>
      </c>
      <c r="AG48" s="12" t="s">
        <v>773</v>
      </c>
    </row>
    <row r="49" customFormat="false" ht="60" hidden="false" customHeight="true" outlineLevel="0" collapsed="false">
      <c r="A49" s="17" t="s">
        <v>279</v>
      </c>
      <c r="B49" s="16" t="n">
        <v>5</v>
      </c>
      <c r="C49" s="12" t="s">
        <v>297</v>
      </c>
      <c r="D49" s="11" t="s">
        <v>110</v>
      </c>
      <c r="E49" s="12" t="s">
        <v>774</v>
      </c>
      <c r="F49" s="12" t="s">
        <v>775</v>
      </c>
      <c r="G49" s="11"/>
      <c r="H49" s="12" t="s">
        <v>487</v>
      </c>
      <c r="I49" s="12" t="s">
        <v>134</v>
      </c>
      <c r="J49" s="14" t="s">
        <v>85</v>
      </c>
      <c r="K49" s="11" t="s">
        <v>86</v>
      </c>
      <c r="L49" s="11" t="s">
        <v>87</v>
      </c>
      <c r="M49" s="12" t="s">
        <v>333</v>
      </c>
      <c r="N49" s="12" t="s">
        <v>89</v>
      </c>
      <c r="O49" s="15" t="s">
        <v>776</v>
      </c>
      <c r="P49" s="11" t="s">
        <v>136</v>
      </c>
      <c r="Q49" s="12" t="s">
        <v>777</v>
      </c>
      <c r="R49" s="12" t="s">
        <v>778</v>
      </c>
      <c r="S49" s="12" t="s">
        <v>779</v>
      </c>
      <c r="T49" s="11" t="s">
        <v>183</v>
      </c>
      <c r="U49" s="11" t="s">
        <v>261</v>
      </c>
      <c r="V49" s="11" t="s">
        <v>97</v>
      </c>
      <c r="W49" s="12" t="s">
        <v>780</v>
      </c>
      <c r="X49" s="11" t="s">
        <v>781</v>
      </c>
      <c r="Y49" s="12" t="s">
        <v>782</v>
      </c>
      <c r="Z49" s="12" t="s">
        <v>101</v>
      </c>
      <c r="AA49" s="12" t="s">
        <v>310</v>
      </c>
      <c r="AB49" s="12" t="s">
        <v>783</v>
      </c>
      <c r="AC49" s="12" t="s">
        <v>784</v>
      </c>
      <c r="AD49" s="12" t="s">
        <v>785</v>
      </c>
      <c r="AE49" s="12" t="s">
        <v>106</v>
      </c>
      <c r="AF49" s="12" t="s">
        <v>786</v>
      </c>
      <c r="AG49" s="12" t="s">
        <v>787</v>
      </c>
    </row>
    <row r="50" customFormat="false" ht="60" hidden="false" customHeight="true" outlineLevel="0" collapsed="false">
      <c r="A50" s="17" t="s">
        <v>279</v>
      </c>
      <c r="B50" s="16" t="n">
        <v>5</v>
      </c>
      <c r="C50" s="12" t="s">
        <v>13</v>
      </c>
      <c r="D50" s="11" t="s">
        <v>80</v>
      </c>
      <c r="E50" s="12" t="s">
        <v>788</v>
      </c>
      <c r="F50" s="12" t="s">
        <v>789</v>
      </c>
      <c r="G50" s="11"/>
      <c r="H50" s="12" t="s">
        <v>487</v>
      </c>
      <c r="I50" s="12" t="s">
        <v>134</v>
      </c>
      <c r="J50" s="14" t="s">
        <v>85</v>
      </c>
      <c r="K50" s="11" t="s">
        <v>86</v>
      </c>
      <c r="L50" s="11" t="s">
        <v>87</v>
      </c>
      <c r="M50" s="12" t="s">
        <v>301</v>
      </c>
      <c r="N50" s="12" t="s">
        <v>89</v>
      </c>
      <c r="O50" s="15" t="s">
        <v>790</v>
      </c>
      <c r="P50" s="11" t="s">
        <v>136</v>
      </c>
      <c r="Q50" s="12" t="s">
        <v>791</v>
      </c>
      <c r="R50" s="12" t="s">
        <v>792</v>
      </c>
      <c r="S50" s="12" t="s">
        <v>793</v>
      </c>
      <c r="T50" s="11" t="s">
        <v>183</v>
      </c>
      <c r="U50" s="11" t="s">
        <v>261</v>
      </c>
      <c r="V50" s="11" t="s">
        <v>97</v>
      </c>
      <c r="W50" s="12" t="s">
        <v>794</v>
      </c>
      <c r="X50" s="11" t="s">
        <v>86</v>
      </c>
      <c r="Y50" s="12" t="s">
        <v>795</v>
      </c>
      <c r="Z50" s="12" t="s">
        <v>101</v>
      </c>
      <c r="AA50" s="12" t="s">
        <v>102</v>
      </c>
      <c r="AB50" s="12" t="s">
        <v>796</v>
      </c>
      <c r="AC50" s="12" t="s">
        <v>797</v>
      </c>
      <c r="AD50" s="12" t="s">
        <v>798</v>
      </c>
      <c r="AE50" s="12" t="s">
        <v>106</v>
      </c>
      <c r="AF50" s="12" t="s">
        <v>799</v>
      </c>
      <c r="AG50" s="12" t="s">
        <v>800</v>
      </c>
    </row>
    <row r="51" customFormat="false" ht="60" hidden="false" customHeight="true" outlineLevel="0" collapsed="false">
      <c r="A51" s="17" t="s">
        <v>279</v>
      </c>
      <c r="B51" s="16" t="n">
        <v>5</v>
      </c>
      <c r="C51" s="12" t="s">
        <v>237</v>
      </c>
      <c r="D51" s="11" t="s">
        <v>110</v>
      </c>
      <c r="E51" s="12" t="s">
        <v>801</v>
      </c>
      <c r="F51" s="12" t="s">
        <v>802</v>
      </c>
      <c r="G51" s="11"/>
      <c r="H51" s="12" t="s">
        <v>544</v>
      </c>
      <c r="I51" s="12" t="s">
        <v>86</v>
      </c>
      <c r="J51" s="14" t="s">
        <v>85</v>
      </c>
      <c r="K51" s="11" t="s">
        <v>86</v>
      </c>
      <c r="L51" s="11" t="s">
        <v>87</v>
      </c>
      <c r="M51" s="12" t="s">
        <v>284</v>
      </c>
      <c r="N51" s="12" t="s">
        <v>89</v>
      </c>
      <c r="O51" s="15" t="s">
        <v>803</v>
      </c>
      <c r="P51" s="11" t="s">
        <v>628</v>
      </c>
      <c r="Q51" s="12" t="s">
        <v>804</v>
      </c>
      <c r="R51" s="12" t="s">
        <v>805</v>
      </c>
      <c r="S51" s="12" t="s">
        <v>806</v>
      </c>
      <c r="T51" s="11" t="s">
        <v>95</v>
      </c>
      <c r="U51" s="11" t="s">
        <v>261</v>
      </c>
      <c r="V51" s="11" t="s">
        <v>97</v>
      </c>
      <c r="W51" s="12" t="s">
        <v>807</v>
      </c>
      <c r="X51" s="11" t="s">
        <v>808</v>
      </c>
      <c r="Y51" s="12" t="s">
        <v>809</v>
      </c>
      <c r="Z51" s="12" t="s">
        <v>101</v>
      </c>
      <c r="AA51" s="12" t="s">
        <v>102</v>
      </c>
      <c r="AB51" s="12" t="s">
        <v>810</v>
      </c>
      <c r="AC51" s="12" t="s">
        <v>811</v>
      </c>
      <c r="AD51" s="12" t="s">
        <v>812</v>
      </c>
      <c r="AE51" s="12" t="s">
        <v>813</v>
      </c>
      <c r="AF51" s="12" t="s">
        <v>814</v>
      </c>
      <c r="AG51" s="12" t="s">
        <v>815</v>
      </c>
    </row>
    <row r="52" customFormat="false" ht="60" hidden="false" customHeight="true" outlineLevel="0" collapsed="false">
      <c r="A52" s="17" t="s">
        <v>279</v>
      </c>
      <c r="B52" s="16" t="n">
        <v>5</v>
      </c>
      <c r="C52" s="12" t="s">
        <v>109</v>
      </c>
      <c r="D52" s="11" t="s">
        <v>110</v>
      </c>
      <c r="E52" s="12" t="s">
        <v>816</v>
      </c>
      <c r="F52" s="12" t="s">
        <v>817</v>
      </c>
      <c r="G52" s="11"/>
      <c r="H52" s="12" t="s">
        <v>544</v>
      </c>
      <c r="I52" s="12" t="s">
        <v>86</v>
      </c>
      <c r="J52" s="14" t="s">
        <v>240</v>
      </c>
      <c r="K52" s="11" t="s">
        <v>86</v>
      </c>
      <c r="L52" s="11" t="s">
        <v>87</v>
      </c>
      <c r="M52" s="12" t="s">
        <v>88</v>
      </c>
      <c r="N52" s="12" t="s">
        <v>818</v>
      </c>
      <c r="O52" s="15" t="s">
        <v>819</v>
      </c>
      <c r="P52" s="11" t="s">
        <v>136</v>
      </c>
      <c r="Q52" s="12" t="s">
        <v>820</v>
      </c>
      <c r="R52" s="12" t="s">
        <v>821</v>
      </c>
      <c r="S52" s="12" t="s">
        <v>822</v>
      </c>
      <c r="T52" s="11" t="s">
        <v>95</v>
      </c>
      <c r="U52" s="11" t="s">
        <v>823</v>
      </c>
      <c r="V52" s="11" t="s">
        <v>97</v>
      </c>
      <c r="W52" s="12" t="s">
        <v>824</v>
      </c>
      <c r="X52" s="11" t="s">
        <v>825</v>
      </c>
      <c r="Y52" s="12" t="s">
        <v>826</v>
      </c>
      <c r="Z52" s="12" t="s">
        <v>101</v>
      </c>
      <c r="AA52" s="12" t="s">
        <v>102</v>
      </c>
      <c r="AB52" s="12" t="s">
        <v>827</v>
      </c>
      <c r="AC52" s="12" t="s">
        <v>828</v>
      </c>
      <c r="AD52" s="12" t="s">
        <v>829</v>
      </c>
      <c r="AE52" s="12" t="s">
        <v>106</v>
      </c>
      <c r="AF52" s="12"/>
      <c r="AG52" s="12" t="s">
        <v>830</v>
      </c>
    </row>
    <row r="53" customFormat="false" ht="60" hidden="false" customHeight="true" outlineLevel="0" collapsed="false">
      <c r="A53" s="17" t="s">
        <v>279</v>
      </c>
      <c r="B53" s="16" t="n">
        <v>5</v>
      </c>
      <c r="C53" s="12" t="s">
        <v>13</v>
      </c>
      <c r="D53" s="11" t="s">
        <v>80</v>
      </c>
      <c r="E53" s="12" t="s">
        <v>345</v>
      </c>
      <c r="F53" s="12" t="s">
        <v>831</v>
      </c>
      <c r="G53" s="11"/>
      <c r="H53" s="12" t="s">
        <v>544</v>
      </c>
      <c r="I53" s="12" t="s">
        <v>86</v>
      </c>
      <c r="J53" s="14" t="s">
        <v>85</v>
      </c>
      <c r="K53" s="11" t="s">
        <v>86</v>
      </c>
      <c r="L53" s="11" t="s">
        <v>87</v>
      </c>
      <c r="M53" s="12" t="s">
        <v>832</v>
      </c>
      <c r="N53" s="12" t="s">
        <v>89</v>
      </c>
      <c r="O53" s="15" t="s">
        <v>833</v>
      </c>
      <c r="P53" s="11" t="s">
        <v>136</v>
      </c>
      <c r="Q53" s="12" t="s">
        <v>834</v>
      </c>
      <c r="R53" s="12" t="s">
        <v>350</v>
      </c>
      <c r="S53" s="12" t="s">
        <v>835</v>
      </c>
      <c r="T53" s="11" t="s">
        <v>95</v>
      </c>
      <c r="U53" s="11" t="s">
        <v>96</v>
      </c>
      <c r="V53" s="11" t="s">
        <v>97</v>
      </c>
      <c r="W53" s="12" t="s">
        <v>836</v>
      </c>
      <c r="X53" s="11" t="s">
        <v>837</v>
      </c>
      <c r="Y53" s="12" t="s">
        <v>838</v>
      </c>
      <c r="Z53" s="12" t="s">
        <v>101</v>
      </c>
      <c r="AA53" s="12" t="s">
        <v>102</v>
      </c>
      <c r="AB53" s="12" t="s">
        <v>839</v>
      </c>
      <c r="AC53" s="12" t="s">
        <v>840</v>
      </c>
      <c r="AD53" s="12" t="s">
        <v>841</v>
      </c>
      <c r="AE53" s="12" t="s">
        <v>106</v>
      </c>
      <c r="AF53" s="12" t="s">
        <v>842</v>
      </c>
      <c r="AG53" s="12" t="s">
        <v>843</v>
      </c>
    </row>
    <row r="54" customFormat="false" ht="60" hidden="false" customHeight="true" outlineLevel="0" collapsed="false">
      <c r="A54" s="17" t="s">
        <v>279</v>
      </c>
      <c r="B54" s="16" t="n">
        <v>5</v>
      </c>
      <c r="C54" s="12" t="s">
        <v>297</v>
      </c>
      <c r="D54" s="11" t="s">
        <v>110</v>
      </c>
      <c r="E54" s="12" t="s">
        <v>844</v>
      </c>
      <c r="F54" s="12" t="s">
        <v>845</v>
      </c>
      <c r="G54" s="11"/>
      <c r="H54" s="12" t="s">
        <v>487</v>
      </c>
      <c r="I54" s="12" t="s">
        <v>134</v>
      </c>
      <c r="J54" s="14" t="s">
        <v>85</v>
      </c>
      <c r="K54" s="11" t="s">
        <v>86</v>
      </c>
      <c r="L54" s="11" t="s">
        <v>87</v>
      </c>
      <c r="M54" s="12" t="s">
        <v>301</v>
      </c>
      <c r="N54" s="12" t="s">
        <v>89</v>
      </c>
      <c r="O54" s="15" t="s">
        <v>846</v>
      </c>
      <c r="P54" s="11" t="s">
        <v>136</v>
      </c>
      <c r="Q54" s="12" t="s">
        <v>847</v>
      </c>
      <c r="R54" s="12" t="s">
        <v>848</v>
      </c>
      <c r="S54" s="12" t="s">
        <v>849</v>
      </c>
      <c r="T54" s="11" t="s">
        <v>95</v>
      </c>
      <c r="U54" s="11" t="s">
        <v>261</v>
      </c>
      <c r="V54" s="11" t="s">
        <v>97</v>
      </c>
      <c r="W54" s="12" t="s">
        <v>850</v>
      </c>
      <c r="X54" s="11" t="s">
        <v>851</v>
      </c>
      <c r="Y54" s="12" t="s">
        <v>852</v>
      </c>
      <c r="Z54" s="12" t="s">
        <v>101</v>
      </c>
      <c r="AA54" s="12" t="s">
        <v>310</v>
      </c>
      <c r="AB54" s="12" t="s">
        <v>853</v>
      </c>
      <c r="AC54" s="12" t="s">
        <v>854</v>
      </c>
      <c r="AD54" s="12" t="s">
        <v>855</v>
      </c>
      <c r="AE54" s="12" t="s">
        <v>106</v>
      </c>
      <c r="AF54" s="12"/>
      <c r="AG54" s="12" t="s">
        <v>856</v>
      </c>
    </row>
    <row r="55" customFormat="false" ht="60" hidden="false" customHeight="true" outlineLevel="0" collapsed="false">
      <c r="A55" s="17" t="s">
        <v>279</v>
      </c>
      <c r="B55" s="16" t="n">
        <v>5</v>
      </c>
      <c r="C55" s="12" t="s">
        <v>297</v>
      </c>
      <c r="D55" s="11" t="s">
        <v>110</v>
      </c>
      <c r="E55" s="12" t="s">
        <v>857</v>
      </c>
      <c r="F55" s="12" t="s">
        <v>858</v>
      </c>
      <c r="G55" s="11"/>
      <c r="H55" s="12" t="s">
        <v>487</v>
      </c>
      <c r="I55" s="12" t="s">
        <v>134</v>
      </c>
      <c r="J55" s="18" t="s">
        <v>513</v>
      </c>
      <c r="K55" s="11" t="s">
        <v>514</v>
      </c>
      <c r="L55" s="11" t="s">
        <v>87</v>
      </c>
      <c r="M55" s="12" t="s">
        <v>284</v>
      </c>
      <c r="N55" s="12" t="s">
        <v>89</v>
      </c>
      <c r="O55" s="15" t="s">
        <v>859</v>
      </c>
      <c r="P55" s="11" t="s">
        <v>136</v>
      </c>
      <c r="Q55" s="12" t="s">
        <v>860</v>
      </c>
      <c r="R55" s="12" t="s">
        <v>304</v>
      </c>
      <c r="S55" s="12" t="s">
        <v>861</v>
      </c>
      <c r="T55" s="11" t="s">
        <v>95</v>
      </c>
      <c r="U55" s="11" t="s">
        <v>862</v>
      </c>
      <c r="V55" s="11" t="s">
        <v>97</v>
      </c>
      <c r="W55" s="12" t="s">
        <v>863</v>
      </c>
      <c r="X55" s="11" t="s">
        <v>864</v>
      </c>
      <c r="Y55" s="12" t="s">
        <v>865</v>
      </c>
      <c r="Z55" s="12" t="s">
        <v>522</v>
      </c>
      <c r="AA55" s="12" t="s">
        <v>866</v>
      </c>
      <c r="AB55" s="12" t="s">
        <v>867</v>
      </c>
      <c r="AC55" s="12" t="s">
        <v>868</v>
      </c>
      <c r="AD55" s="12" t="s">
        <v>869</v>
      </c>
      <c r="AE55" s="12" t="s">
        <v>813</v>
      </c>
      <c r="AF55" s="12" t="s">
        <v>870</v>
      </c>
      <c r="AG55" s="12" t="s">
        <v>871</v>
      </c>
    </row>
    <row r="56" customFormat="false" ht="60" hidden="false" customHeight="true" outlineLevel="0" collapsed="false">
      <c r="A56" s="17" t="s">
        <v>279</v>
      </c>
      <c r="B56" s="16" t="n">
        <v>5</v>
      </c>
      <c r="C56" s="12" t="s">
        <v>297</v>
      </c>
      <c r="D56" s="11" t="s">
        <v>110</v>
      </c>
      <c r="E56" s="12" t="s">
        <v>872</v>
      </c>
      <c r="F56" s="12" t="s">
        <v>873</v>
      </c>
      <c r="G56" s="11"/>
      <c r="H56" s="12" t="s">
        <v>487</v>
      </c>
      <c r="I56" s="12" t="s">
        <v>134</v>
      </c>
      <c r="J56" s="14" t="s">
        <v>85</v>
      </c>
      <c r="K56" s="11" t="s">
        <v>86</v>
      </c>
      <c r="L56" s="11" t="s">
        <v>87</v>
      </c>
      <c r="M56" s="12" t="s">
        <v>284</v>
      </c>
      <c r="N56" s="12" t="s">
        <v>89</v>
      </c>
      <c r="O56" s="15" t="s">
        <v>874</v>
      </c>
      <c r="P56" s="11" t="s">
        <v>136</v>
      </c>
      <c r="Q56" s="12" t="s">
        <v>875</v>
      </c>
      <c r="R56" s="12" t="s">
        <v>876</v>
      </c>
      <c r="S56" s="12" t="s">
        <v>877</v>
      </c>
      <c r="T56" s="11" t="s">
        <v>95</v>
      </c>
      <c r="U56" s="11" t="s">
        <v>878</v>
      </c>
      <c r="V56" s="11" t="s">
        <v>97</v>
      </c>
      <c r="W56" s="12" t="s">
        <v>879</v>
      </c>
      <c r="X56" s="11" t="s">
        <v>880</v>
      </c>
      <c r="Y56" s="12" t="s">
        <v>881</v>
      </c>
      <c r="Z56" s="12" t="s">
        <v>101</v>
      </c>
      <c r="AA56" s="12" t="s">
        <v>310</v>
      </c>
      <c r="AB56" s="12" t="s">
        <v>882</v>
      </c>
      <c r="AC56" s="12" t="s">
        <v>883</v>
      </c>
      <c r="AD56" s="12" t="s">
        <v>884</v>
      </c>
      <c r="AE56" s="12" t="s">
        <v>127</v>
      </c>
      <c r="AF56" s="12" t="s">
        <v>885</v>
      </c>
      <c r="AG56" s="12" t="s">
        <v>886</v>
      </c>
    </row>
    <row r="57" customFormat="false" ht="60" hidden="false" customHeight="true" outlineLevel="0" collapsed="false">
      <c r="A57" s="17" t="s">
        <v>279</v>
      </c>
      <c r="B57" s="16" t="n">
        <v>5</v>
      </c>
      <c r="C57" s="12" t="s">
        <v>13</v>
      </c>
      <c r="D57" s="11" t="s">
        <v>80</v>
      </c>
      <c r="E57" s="12" t="s">
        <v>887</v>
      </c>
      <c r="F57" s="12" t="s">
        <v>888</v>
      </c>
      <c r="G57" s="11"/>
      <c r="H57" s="12" t="s">
        <v>544</v>
      </c>
      <c r="I57" s="12" t="s">
        <v>86</v>
      </c>
      <c r="J57" s="14" t="s">
        <v>85</v>
      </c>
      <c r="K57" s="11" t="s">
        <v>86</v>
      </c>
      <c r="L57" s="11" t="s">
        <v>87</v>
      </c>
      <c r="M57" s="12" t="s">
        <v>88</v>
      </c>
      <c r="N57" s="12" t="s">
        <v>89</v>
      </c>
      <c r="O57" s="15" t="s">
        <v>889</v>
      </c>
      <c r="P57" s="11" t="s">
        <v>136</v>
      </c>
      <c r="Q57" s="12" t="s">
        <v>890</v>
      </c>
      <c r="R57" s="12" t="s">
        <v>891</v>
      </c>
      <c r="S57" s="12" t="s">
        <v>94</v>
      </c>
      <c r="T57" s="11" t="s">
        <v>95</v>
      </c>
      <c r="U57" s="11" t="s">
        <v>892</v>
      </c>
      <c r="V57" s="11" t="s">
        <v>97</v>
      </c>
      <c r="W57" s="12" t="s">
        <v>893</v>
      </c>
      <c r="X57" s="11" t="s">
        <v>894</v>
      </c>
      <c r="Y57" s="12" t="s">
        <v>895</v>
      </c>
      <c r="Z57" s="12" t="s">
        <v>101</v>
      </c>
      <c r="AA57" s="12" t="s">
        <v>102</v>
      </c>
      <c r="AB57" s="12" t="s">
        <v>896</v>
      </c>
      <c r="AC57" s="12" t="s">
        <v>897</v>
      </c>
      <c r="AD57" s="12" t="s">
        <v>898</v>
      </c>
      <c r="AE57" s="12" t="s">
        <v>127</v>
      </c>
      <c r="AF57" s="12" t="s">
        <v>899</v>
      </c>
      <c r="AG57" s="12" t="s">
        <v>900</v>
      </c>
    </row>
    <row r="58" customFormat="false" ht="60" hidden="false" customHeight="true" outlineLevel="0" collapsed="false">
      <c r="A58" s="17" t="s">
        <v>279</v>
      </c>
      <c r="B58" s="16" t="n">
        <v>5</v>
      </c>
      <c r="C58" s="12" t="s">
        <v>297</v>
      </c>
      <c r="D58" s="11" t="s">
        <v>110</v>
      </c>
      <c r="E58" s="12" t="s">
        <v>901</v>
      </c>
      <c r="F58" s="12" t="s">
        <v>902</v>
      </c>
      <c r="G58" s="11"/>
      <c r="H58" s="12" t="s">
        <v>487</v>
      </c>
      <c r="I58" s="12" t="s">
        <v>134</v>
      </c>
      <c r="J58" s="14" t="s">
        <v>113</v>
      </c>
      <c r="K58" s="11" t="s">
        <v>86</v>
      </c>
      <c r="L58" s="11" t="s">
        <v>114</v>
      </c>
      <c r="M58" s="12" t="s">
        <v>284</v>
      </c>
      <c r="N58" s="12" t="s">
        <v>89</v>
      </c>
      <c r="O58" s="15" t="s">
        <v>903</v>
      </c>
      <c r="P58" s="11" t="s">
        <v>136</v>
      </c>
      <c r="Q58" s="12" t="s">
        <v>904</v>
      </c>
      <c r="R58" s="12" t="s">
        <v>905</v>
      </c>
      <c r="S58" s="12" t="s">
        <v>906</v>
      </c>
      <c r="T58" s="11" t="s">
        <v>95</v>
      </c>
      <c r="U58" s="11" t="s">
        <v>261</v>
      </c>
      <c r="V58" s="11" t="s">
        <v>97</v>
      </c>
      <c r="W58" s="12" t="s">
        <v>907</v>
      </c>
      <c r="X58" s="11" t="s">
        <v>908</v>
      </c>
      <c r="Y58" s="12" t="s">
        <v>909</v>
      </c>
      <c r="Z58" s="12" t="s">
        <v>101</v>
      </c>
      <c r="AA58" s="12" t="s">
        <v>310</v>
      </c>
      <c r="AB58" s="12" t="s">
        <v>910</v>
      </c>
      <c r="AC58" s="12" t="s">
        <v>911</v>
      </c>
      <c r="AD58" s="12" t="s">
        <v>912</v>
      </c>
      <c r="AE58" s="12" t="s">
        <v>106</v>
      </c>
      <c r="AF58" s="12"/>
      <c r="AG58" s="12" t="s">
        <v>913</v>
      </c>
    </row>
    <row r="59" customFormat="false" ht="60" hidden="false" customHeight="true" outlineLevel="0" collapsed="false">
      <c r="A59" s="17" t="s">
        <v>279</v>
      </c>
      <c r="B59" s="16" t="n">
        <v>5</v>
      </c>
      <c r="C59" s="12" t="s">
        <v>13</v>
      </c>
      <c r="D59" s="11" t="s">
        <v>80</v>
      </c>
      <c r="E59" s="12" t="s">
        <v>914</v>
      </c>
      <c r="F59" s="12" t="s">
        <v>915</v>
      </c>
      <c r="G59" s="11"/>
      <c r="H59" s="12" t="s">
        <v>544</v>
      </c>
      <c r="I59" s="12" t="s">
        <v>86</v>
      </c>
      <c r="J59" s="14" t="s">
        <v>85</v>
      </c>
      <c r="K59" s="11" t="s">
        <v>86</v>
      </c>
      <c r="L59" s="11" t="s">
        <v>87</v>
      </c>
      <c r="M59" s="12" t="s">
        <v>88</v>
      </c>
      <c r="N59" s="12" t="s">
        <v>916</v>
      </c>
      <c r="O59" s="15" t="s">
        <v>917</v>
      </c>
      <c r="P59" s="11" t="s">
        <v>136</v>
      </c>
      <c r="Q59" s="12" t="s">
        <v>918</v>
      </c>
      <c r="R59" s="12" t="s">
        <v>919</v>
      </c>
      <c r="S59" s="12" t="s">
        <v>182</v>
      </c>
      <c r="T59" s="11" t="s">
        <v>95</v>
      </c>
      <c r="U59" s="11" t="s">
        <v>920</v>
      </c>
      <c r="V59" s="11" t="s">
        <v>97</v>
      </c>
      <c r="W59" s="12" t="s">
        <v>921</v>
      </c>
      <c r="X59" s="11" t="s">
        <v>141</v>
      </c>
      <c r="Y59" s="12" t="s">
        <v>922</v>
      </c>
      <c r="Z59" s="12" t="s">
        <v>101</v>
      </c>
      <c r="AA59" s="12" t="s">
        <v>102</v>
      </c>
      <c r="AB59" s="12" t="s">
        <v>923</v>
      </c>
      <c r="AC59" s="12" t="s">
        <v>924</v>
      </c>
      <c r="AD59" s="12" t="s">
        <v>925</v>
      </c>
      <c r="AE59" s="12" t="s">
        <v>106</v>
      </c>
      <c r="AF59" s="12" t="s">
        <v>926</v>
      </c>
      <c r="AG59" s="12" t="s">
        <v>927</v>
      </c>
    </row>
    <row r="60" customFormat="false" ht="60" hidden="false" customHeight="true" outlineLevel="0" collapsed="false">
      <c r="A60" s="17" t="s">
        <v>279</v>
      </c>
      <c r="B60" s="16" t="n">
        <v>5</v>
      </c>
      <c r="C60" s="12" t="s">
        <v>297</v>
      </c>
      <c r="D60" s="11" t="s">
        <v>110</v>
      </c>
      <c r="E60" s="12" t="s">
        <v>928</v>
      </c>
      <c r="F60" s="12" t="s">
        <v>929</v>
      </c>
      <c r="G60" s="11"/>
      <c r="H60" s="12" t="s">
        <v>487</v>
      </c>
      <c r="I60" s="12" t="s">
        <v>134</v>
      </c>
      <c r="J60" s="14" t="s">
        <v>113</v>
      </c>
      <c r="K60" s="11" t="s">
        <v>86</v>
      </c>
      <c r="L60" s="11" t="s">
        <v>114</v>
      </c>
      <c r="M60" s="12" t="s">
        <v>284</v>
      </c>
      <c r="N60" s="12" t="s">
        <v>89</v>
      </c>
      <c r="O60" s="15" t="s">
        <v>930</v>
      </c>
      <c r="P60" s="11" t="s">
        <v>136</v>
      </c>
      <c r="Q60" s="12" t="s">
        <v>931</v>
      </c>
      <c r="R60" s="12" t="s">
        <v>932</v>
      </c>
      <c r="S60" s="12" t="s">
        <v>933</v>
      </c>
      <c r="T60" s="11" t="s">
        <v>95</v>
      </c>
      <c r="U60" s="11" t="s">
        <v>96</v>
      </c>
      <c r="V60" s="11" t="s">
        <v>97</v>
      </c>
      <c r="W60" s="12" t="s">
        <v>934</v>
      </c>
      <c r="X60" s="11" t="s">
        <v>935</v>
      </c>
      <c r="Y60" s="12" t="s">
        <v>936</v>
      </c>
      <c r="Z60" s="12" t="s">
        <v>101</v>
      </c>
      <c r="AA60" s="12" t="s">
        <v>310</v>
      </c>
      <c r="AB60" s="12" t="s">
        <v>937</v>
      </c>
      <c r="AC60" s="12" t="s">
        <v>938</v>
      </c>
      <c r="AD60" s="12" t="s">
        <v>939</v>
      </c>
      <c r="AE60" s="12" t="s">
        <v>106</v>
      </c>
      <c r="AF60" s="12" t="s">
        <v>940</v>
      </c>
      <c r="AG60" s="12" t="s">
        <v>941</v>
      </c>
    </row>
    <row r="61" customFormat="false" ht="60" hidden="false" customHeight="true" outlineLevel="0" collapsed="false">
      <c r="A61" s="17" t="s">
        <v>279</v>
      </c>
      <c r="B61" s="16" t="n">
        <v>5</v>
      </c>
      <c r="C61" s="12" t="s">
        <v>13</v>
      </c>
      <c r="D61" s="11" t="s">
        <v>80</v>
      </c>
      <c r="E61" s="12" t="s">
        <v>942</v>
      </c>
      <c r="F61" s="12" t="s">
        <v>943</v>
      </c>
      <c r="G61" s="11"/>
      <c r="H61" s="12" t="s">
        <v>544</v>
      </c>
      <c r="I61" s="12" t="s">
        <v>86</v>
      </c>
      <c r="J61" s="14" t="s">
        <v>85</v>
      </c>
      <c r="K61" s="11" t="s">
        <v>86</v>
      </c>
      <c r="L61" s="11" t="s">
        <v>87</v>
      </c>
      <c r="M61" s="12" t="s">
        <v>88</v>
      </c>
      <c r="N61" s="12" t="s">
        <v>89</v>
      </c>
      <c r="O61" s="15" t="s">
        <v>944</v>
      </c>
      <c r="P61" s="11" t="s">
        <v>628</v>
      </c>
      <c r="Q61" s="12" t="s">
        <v>546</v>
      </c>
      <c r="R61" s="12" t="s">
        <v>304</v>
      </c>
      <c r="S61" s="12" t="s">
        <v>182</v>
      </c>
      <c r="T61" s="11" t="s">
        <v>95</v>
      </c>
      <c r="U61" s="11" t="s">
        <v>261</v>
      </c>
      <c r="V61" s="11" t="s">
        <v>97</v>
      </c>
      <c r="W61" s="12" t="s">
        <v>945</v>
      </c>
      <c r="X61" s="11" t="s">
        <v>946</v>
      </c>
      <c r="Y61" s="12" t="s">
        <v>947</v>
      </c>
      <c r="Z61" s="12" t="s">
        <v>101</v>
      </c>
      <c r="AA61" s="12" t="s">
        <v>102</v>
      </c>
      <c r="AB61" s="12" t="s">
        <v>948</v>
      </c>
      <c r="AC61" s="12" t="s">
        <v>949</v>
      </c>
      <c r="AD61" s="12" t="s">
        <v>950</v>
      </c>
      <c r="AE61" s="12" t="s">
        <v>596</v>
      </c>
      <c r="AF61" s="12" t="s">
        <v>951</v>
      </c>
      <c r="AG61" s="12" t="s">
        <v>952</v>
      </c>
    </row>
    <row r="62" customFormat="false" ht="60" hidden="false" customHeight="true" outlineLevel="0" collapsed="false">
      <c r="A62" s="17" t="s">
        <v>279</v>
      </c>
      <c r="B62" s="16" t="n">
        <v>5</v>
      </c>
      <c r="C62" s="12" t="s">
        <v>13</v>
      </c>
      <c r="D62" s="11" t="s">
        <v>80</v>
      </c>
      <c r="E62" s="12" t="s">
        <v>953</v>
      </c>
      <c r="F62" s="12" t="s">
        <v>954</v>
      </c>
      <c r="G62" s="11"/>
      <c r="H62" s="12" t="s">
        <v>487</v>
      </c>
      <c r="I62" s="12" t="s">
        <v>134</v>
      </c>
      <c r="J62" s="14" t="s">
        <v>85</v>
      </c>
      <c r="K62" s="11" t="s">
        <v>86</v>
      </c>
      <c r="L62" s="11" t="s">
        <v>87</v>
      </c>
      <c r="M62" s="12" t="s">
        <v>88</v>
      </c>
      <c r="N62" s="12" t="s">
        <v>89</v>
      </c>
      <c r="O62" s="15" t="s">
        <v>955</v>
      </c>
      <c r="P62" s="11" t="s">
        <v>136</v>
      </c>
      <c r="Q62" s="12" t="s">
        <v>956</v>
      </c>
      <c r="R62" s="12" t="s">
        <v>957</v>
      </c>
      <c r="S62" s="12" t="s">
        <v>958</v>
      </c>
      <c r="T62" s="11" t="s">
        <v>183</v>
      </c>
      <c r="U62" s="11" t="s">
        <v>198</v>
      </c>
      <c r="V62" s="11" t="s">
        <v>97</v>
      </c>
      <c r="W62" s="12" t="s">
        <v>959</v>
      </c>
      <c r="X62" s="11" t="s">
        <v>141</v>
      </c>
      <c r="Y62" s="12" t="s">
        <v>960</v>
      </c>
      <c r="Z62" s="12" t="s">
        <v>101</v>
      </c>
      <c r="AA62" s="12" t="s">
        <v>102</v>
      </c>
      <c r="AB62" s="12" t="s">
        <v>961</v>
      </c>
      <c r="AC62" s="12" t="s">
        <v>962</v>
      </c>
      <c r="AD62" s="12" t="s">
        <v>963</v>
      </c>
      <c r="AE62" s="12" t="s">
        <v>106</v>
      </c>
      <c r="AF62" s="12" t="s">
        <v>964</v>
      </c>
      <c r="AG62" s="12" t="s">
        <v>965</v>
      </c>
    </row>
    <row r="63" customFormat="false" ht="60" hidden="false" customHeight="true" outlineLevel="0" collapsed="false">
      <c r="A63" s="17" t="s">
        <v>279</v>
      </c>
      <c r="B63" s="16" t="n">
        <v>5</v>
      </c>
      <c r="C63" s="12" t="s">
        <v>13</v>
      </c>
      <c r="D63" s="11" t="s">
        <v>80</v>
      </c>
      <c r="E63" s="12" t="s">
        <v>966</v>
      </c>
      <c r="F63" s="12" t="s">
        <v>967</v>
      </c>
      <c r="G63" s="11"/>
      <c r="H63" s="12" t="s">
        <v>487</v>
      </c>
      <c r="I63" s="12" t="s">
        <v>134</v>
      </c>
      <c r="J63" s="14" t="s">
        <v>85</v>
      </c>
      <c r="K63" s="11" t="s">
        <v>86</v>
      </c>
      <c r="L63" s="11" t="s">
        <v>87</v>
      </c>
      <c r="M63" s="12" t="s">
        <v>88</v>
      </c>
      <c r="N63" s="12" t="s">
        <v>968</v>
      </c>
      <c r="O63" s="15" t="s">
        <v>969</v>
      </c>
      <c r="P63" s="11" t="s">
        <v>628</v>
      </c>
      <c r="Q63" s="12" t="s">
        <v>970</v>
      </c>
      <c r="R63" s="12" t="s">
        <v>971</v>
      </c>
      <c r="S63" s="12" t="s">
        <v>182</v>
      </c>
      <c r="T63" s="11" t="s">
        <v>95</v>
      </c>
      <c r="U63" s="11" t="s">
        <v>878</v>
      </c>
      <c r="V63" s="11" t="s">
        <v>97</v>
      </c>
      <c r="W63" s="12" t="s">
        <v>972</v>
      </c>
      <c r="X63" s="11" t="s">
        <v>248</v>
      </c>
      <c r="Y63" s="12" t="s">
        <v>973</v>
      </c>
      <c r="Z63" s="12" t="s">
        <v>101</v>
      </c>
      <c r="AA63" s="12" t="s">
        <v>102</v>
      </c>
      <c r="AB63" s="12" t="s">
        <v>974</v>
      </c>
      <c r="AC63" s="12" t="s">
        <v>975</v>
      </c>
      <c r="AD63" s="12" t="s">
        <v>976</v>
      </c>
      <c r="AE63" s="12" t="s">
        <v>106</v>
      </c>
      <c r="AF63" s="12" t="s">
        <v>977</v>
      </c>
      <c r="AG63" s="12" t="s">
        <v>978</v>
      </c>
    </row>
    <row r="64" customFormat="false" ht="60" hidden="false" customHeight="true" outlineLevel="0" collapsed="false">
      <c r="A64" s="17" t="s">
        <v>279</v>
      </c>
      <c r="B64" s="11" t="n">
        <v>4</v>
      </c>
      <c r="C64" s="12" t="s">
        <v>13</v>
      </c>
      <c r="D64" s="11" t="s">
        <v>80</v>
      </c>
      <c r="E64" s="12" t="s">
        <v>979</v>
      </c>
      <c r="F64" s="12" t="s">
        <v>980</v>
      </c>
      <c r="G64" s="11"/>
      <c r="H64" s="12" t="s">
        <v>544</v>
      </c>
      <c r="I64" s="12" t="s">
        <v>86</v>
      </c>
      <c r="J64" s="14" t="s">
        <v>85</v>
      </c>
      <c r="K64" s="11" t="s">
        <v>86</v>
      </c>
      <c r="L64" s="11" t="s">
        <v>87</v>
      </c>
      <c r="M64" s="12" t="s">
        <v>301</v>
      </c>
      <c r="N64" s="12" t="s">
        <v>89</v>
      </c>
      <c r="O64" s="15" t="s">
        <v>981</v>
      </c>
      <c r="P64" s="11" t="s">
        <v>628</v>
      </c>
      <c r="Q64" s="12" t="s">
        <v>982</v>
      </c>
      <c r="R64" s="12" t="s">
        <v>983</v>
      </c>
      <c r="S64" s="12" t="s">
        <v>984</v>
      </c>
      <c r="T64" s="11" t="s">
        <v>183</v>
      </c>
      <c r="U64" s="11" t="s">
        <v>228</v>
      </c>
      <c r="V64" s="11" t="s">
        <v>97</v>
      </c>
      <c r="W64" s="12" t="s">
        <v>985</v>
      </c>
      <c r="X64" s="11" t="s">
        <v>86</v>
      </c>
      <c r="Y64" s="12" t="s">
        <v>986</v>
      </c>
      <c r="Z64" s="12" t="s">
        <v>101</v>
      </c>
      <c r="AA64" s="12" t="s">
        <v>102</v>
      </c>
      <c r="AB64" s="12" t="s">
        <v>987</v>
      </c>
      <c r="AC64" s="12" t="s">
        <v>988</v>
      </c>
      <c r="AD64" s="12" t="s">
        <v>989</v>
      </c>
      <c r="AE64" s="12" t="s">
        <v>106</v>
      </c>
      <c r="AF64" s="12" t="s">
        <v>990</v>
      </c>
      <c r="AG64" s="12" t="s">
        <v>991</v>
      </c>
    </row>
    <row r="65" customFormat="false" ht="60" hidden="false" customHeight="true" outlineLevel="0" collapsed="false">
      <c r="A65" s="17" t="s">
        <v>279</v>
      </c>
      <c r="B65" s="11" t="n">
        <v>4</v>
      </c>
      <c r="C65" s="12" t="s">
        <v>297</v>
      </c>
      <c r="D65" s="11" t="s">
        <v>110</v>
      </c>
      <c r="E65" s="12" t="s">
        <v>992</v>
      </c>
      <c r="F65" s="12" t="s">
        <v>993</v>
      </c>
      <c r="G65" s="11"/>
      <c r="H65" s="12" t="s">
        <v>487</v>
      </c>
      <c r="I65" s="12" t="s">
        <v>134</v>
      </c>
      <c r="J65" s="18" t="s">
        <v>513</v>
      </c>
      <c r="K65" s="11" t="s">
        <v>514</v>
      </c>
      <c r="L65" s="11" t="s">
        <v>87</v>
      </c>
      <c r="M65" s="12" t="s">
        <v>88</v>
      </c>
      <c r="N65" s="12" t="s">
        <v>89</v>
      </c>
      <c r="O65" s="15" t="s">
        <v>994</v>
      </c>
      <c r="P65" s="11" t="s">
        <v>136</v>
      </c>
      <c r="Q65" s="12" t="s">
        <v>995</v>
      </c>
      <c r="R65" s="12" t="s">
        <v>996</v>
      </c>
      <c r="S65" s="12" t="s">
        <v>997</v>
      </c>
      <c r="T65" s="11" t="s">
        <v>95</v>
      </c>
      <c r="U65" s="11" t="s">
        <v>878</v>
      </c>
      <c r="V65" s="11" t="s">
        <v>97</v>
      </c>
      <c r="W65" s="12" t="s">
        <v>998</v>
      </c>
      <c r="X65" s="11" t="s">
        <v>999</v>
      </c>
      <c r="Y65" s="12" t="s">
        <v>1000</v>
      </c>
      <c r="Z65" s="12" t="s">
        <v>522</v>
      </c>
      <c r="AA65" s="12" t="s">
        <v>866</v>
      </c>
      <c r="AB65" s="12" t="s">
        <v>1001</v>
      </c>
      <c r="AC65" s="12" t="s">
        <v>1002</v>
      </c>
      <c r="AD65" s="12" t="s">
        <v>1003</v>
      </c>
      <c r="AE65" s="12" t="s">
        <v>596</v>
      </c>
      <c r="AF65" s="12" t="s">
        <v>1004</v>
      </c>
      <c r="AG65" s="12" t="s">
        <v>1005</v>
      </c>
    </row>
    <row r="66" customFormat="false" ht="60" hidden="false" customHeight="true" outlineLevel="0" collapsed="false">
      <c r="A66" s="17" t="s">
        <v>279</v>
      </c>
      <c r="B66" s="11" t="n">
        <v>4</v>
      </c>
      <c r="C66" s="12" t="s">
        <v>297</v>
      </c>
      <c r="D66" s="11" t="s">
        <v>110</v>
      </c>
      <c r="E66" s="12" t="s">
        <v>1006</v>
      </c>
      <c r="F66" s="12" t="s">
        <v>1007</v>
      </c>
      <c r="G66" s="11"/>
      <c r="H66" s="12" t="s">
        <v>487</v>
      </c>
      <c r="I66" s="12" t="s">
        <v>134</v>
      </c>
      <c r="J66" s="14" t="s">
        <v>85</v>
      </c>
      <c r="K66" s="11" t="s">
        <v>86</v>
      </c>
      <c r="L66" s="11" t="s">
        <v>87</v>
      </c>
      <c r="M66" s="12" t="s">
        <v>301</v>
      </c>
      <c r="N66" s="12" t="s">
        <v>89</v>
      </c>
      <c r="O66" s="15" t="s">
        <v>1008</v>
      </c>
      <c r="P66" s="11" t="s">
        <v>136</v>
      </c>
      <c r="Q66" s="12" t="s">
        <v>1009</v>
      </c>
      <c r="R66" s="12" t="s">
        <v>1010</v>
      </c>
      <c r="S66" s="12" t="s">
        <v>1011</v>
      </c>
      <c r="T66" s="11" t="s">
        <v>95</v>
      </c>
      <c r="U66" s="11" t="s">
        <v>168</v>
      </c>
      <c r="V66" s="11" t="s">
        <v>97</v>
      </c>
      <c r="W66" s="12" t="s">
        <v>1012</v>
      </c>
      <c r="X66" s="11" t="s">
        <v>86</v>
      </c>
      <c r="Y66" s="12" t="s">
        <v>1013</v>
      </c>
      <c r="Z66" s="12" t="s">
        <v>101</v>
      </c>
      <c r="AA66" s="12" t="s">
        <v>310</v>
      </c>
      <c r="AB66" s="12" t="s">
        <v>1014</v>
      </c>
      <c r="AC66" s="12" t="s">
        <v>1015</v>
      </c>
      <c r="AD66" s="12" t="s">
        <v>1016</v>
      </c>
      <c r="AE66" s="12" t="s">
        <v>127</v>
      </c>
      <c r="AF66" s="12" t="s">
        <v>1017</v>
      </c>
      <c r="AG66" s="12" t="s">
        <v>1018</v>
      </c>
    </row>
    <row r="67" customFormat="false" ht="60" hidden="false" customHeight="true" outlineLevel="0" collapsed="false">
      <c r="A67" s="17" t="s">
        <v>279</v>
      </c>
      <c r="B67" s="11" t="n">
        <v>4</v>
      </c>
      <c r="C67" s="12" t="s">
        <v>13</v>
      </c>
      <c r="D67" s="11" t="s">
        <v>80</v>
      </c>
      <c r="E67" s="12" t="s">
        <v>1019</v>
      </c>
      <c r="F67" s="12" t="s">
        <v>1020</v>
      </c>
      <c r="G67" s="11"/>
      <c r="H67" s="12" t="s">
        <v>544</v>
      </c>
      <c r="I67" s="12" t="s">
        <v>86</v>
      </c>
      <c r="J67" s="14" t="s">
        <v>85</v>
      </c>
      <c r="K67" s="11" t="s">
        <v>86</v>
      </c>
      <c r="L67" s="11" t="s">
        <v>87</v>
      </c>
      <c r="M67" s="12" t="s">
        <v>88</v>
      </c>
      <c r="N67" s="12" t="s">
        <v>1021</v>
      </c>
      <c r="O67" s="15" t="s">
        <v>1022</v>
      </c>
      <c r="P67" s="11" t="s">
        <v>136</v>
      </c>
      <c r="Q67" s="12" t="s">
        <v>1023</v>
      </c>
      <c r="R67" s="12" t="s">
        <v>1024</v>
      </c>
      <c r="S67" s="12" t="s">
        <v>182</v>
      </c>
      <c r="T67" s="11" t="s">
        <v>95</v>
      </c>
      <c r="U67" s="11" t="s">
        <v>452</v>
      </c>
      <c r="V67" s="11" t="s">
        <v>97</v>
      </c>
      <c r="W67" s="12" t="s">
        <v>1025</v>
      </c>
      <c r="X67" s="11" t="s">
        <v>1026</v>
      </c>
      <c r="Y67" s="12" t="s">
        <v>1027</v>
      </c>
      <c r="Z67" s="12" t="s">
        <v>101</v>
      </c>
      <c r="AA67" s="12" t="s">
        <v>102</v>
      </c>
      <c r="AB67" s="12" t="s">
        <v>1028</v>
      </c>
      <c r="AC67" s="12" t="s">
        <v>1029</v>
      </c>
      <c r="AD67" s="12" t="s">
        <v>1030</v>
      </c>
      <c r="AE67" s="12" t="s">
        <v>596</v>
      </c>
      <c r="AF67" s="12" t="s">
        <v>1031</v>
      </c>
      <c r="AG67" s="12" t="s">
        <v>1032</v>
      </c>
    </row>
    <row r="68" customFormat="false" ht="60" hidden="false" customHeight="true" outlineLevel="0" collapsed="false">
      <c r="A68" s="17" t="s">
        <v>279</v>
      </c>
      <c r="B68" s="11" t="n">
        <v>4</v>
      </c>
      <c r="C68" s="12" t="s">
        <v>237</v>
      </c>
      <c r="D68" s="11" t="s">
        <v>110</v>
      </c>
      <c r="E68" s="12" t="s">
        <v>404</v>
      </c>
      <c r="F68" s="12" t="s">
        <v>1033</v>
      </c>
      <c r="G68" s="11"/>
      <c r="H68" s="12" t="s">
        <v>544</v>
      </c>
      <c r="I68" s="12" t="s">
        <v>86</v>
      </c>
      <c r="J68" s="14" t="s">
        <v>85</v>
      </c>
      <c r="K68" s="11" t="s">
        <v>86</v>
      </c>
      <c r="L68" s="11" t="s">
        <v>87</v>
      </c>
      <c r="M68" s="12" t="s">
        <v>284</v>
      </c>
      <c r="N68" s="12" t="s">
        <v>89</v>
      </c>
      <c r="O68" s="15" t="s">
        <v>1034</v>
      </c>
      <c r="P68" s="11" t="s">
        <v>136</v>
      </c>
      <c r="Q68" s="12" t="s">
        <v>1035</v>
      </c>
      <c r="R68" s="12" t="s">
        <v>1036</v>
      </c>
      <c r="S68" s="12" t="s">
        <v>1037</v>
      </c>
      <c r="T68" s="11" t="s">
        <v>95</v>
      </c>
      <c r="U68" s="11" t="s">
        <v>228</v>
      </c>
      <c r="V68" s="11" t="s">
        <v>97</v>
      </c>
      <c r="W68" s="12" t="s">
        <v>1038</v>
      </c>
      <c r="X68" s="11" t="s">
        <v>1039</v>
      </c>
      <c r="Y68" s="12" t="s">
        <v>1040</v>
      </c>
      <c r="Z68" s="12" t="s">
        <v>101</v>
      </c>
      <c r="AA68" s="12" t="s">
        <v>102</v>
      </c>
      <c r="AB68" s="12" t="s">
        <v>1041</v>
      </c>
      <c r="AC68" s="12" t="s">
        <v>1042</v>
      </c>
      <c r="AD68" s="12" t="s">
        <v>1043</v>
      </c>
      <c r="AE68" s="12" t="s">
        <v>106</v>
      </c>
      <c r="AF68" s="12" t="s">
        <v>1044</v>
      </c>
      <c r="AG68" s="12" t="s">
        <v>1045</v>
      </c>
    </row>
    <row r="69" customFormat="false" ht="60" hidden="false" customHeight="true" outlineLevel="0" collapsed="false">
      <c r="A69" s="17" t="s">
        <v>279</v>
      </c>
      <c r="B69" s="11" t="n">
        <v>4</v>
      </c>
      <c r="C69" s="12" t="s">
        <v>13</v>
      </c>
      <c r="D69" s="11" t="s">
        <v>80</v>
      </c>
      <c r="E69" s="12" t="s">
        <v>654</v>
      </c>
      <c r="F69" s="12" t="s">
        <v>1046</v>
      </c>
      <c r="G69" s="11"/>
      <c r="H69" s="12" t="s">
        <v>487</v>
      </c>
      <c r="I69" s="12" t="s">
        <v>134</v>
      </c>
      <c r="J69" s="14" t="s">
        <v>85</v>
      </c>
      <c r="K69" s="11" t="s">
        <v>86</v>
      </c>
      <c r="L69" s="11" t="s">
        <v>87</v>
      </c>
      <c r="M69" s="12" t="s">
        <v>333</v>
      </c>
      <c r="N69" s="12" t="s">
        <v>89</v>
      </c>
      <c r="O69" s="15" t="s">
        <v>1047</v>
      </c>
      <c r="P69" s="11" t="s">
        <v>136</v>
      </c>
      <c r="Q69" s="12" t="s">
        <v>1048</v>
      </c>
      <c r="R69" s="12" t="s">
        <v>659</v>
      </c>
      <c r="S69" s="12" t="s">
        <v>182</v>
      </c>
      <c r="T69" s="11" t="s">
        <v>183</v>
      </c>
      <c r="U69" s="11" t="s">
        <v>168</v>
      </c>
      <c r="V69" s="11" t="s">
        <v>97</v>
      </c>
      <c r="W69" s="12" t="s">
        <v>1049</v>
      </c>
      <c r="X69" s="11" t="s">
        <v>1050</v>
      </c>
      <c r="Y69" s="12" t="s">
        <v>1051</v>
      </c>
      <c r="Z69" s="12" t="s">
        <v>101</v>
      </c>
      <c r="AA69" s="12" t="s">
        <v>102</v>
      </c>
      <c r="AB69" s="12" t="s">
        <v>1052</v>
      </c>
      <c r="AC69" s="12" t="s">
        <v>1053</v>
      </c>
      <c r="AD69" s="12" t="s">
        <v>1054</v>
      </c>
      <c r="AE69" s="12" t="s">
        <v>127</v>
      </c>
      <c r="AF69" s="12" t="s">
        <v>1055</v>
      </c>
      <c r="AG69" s="12" t="s">
        <v>1056</v>
      </c>
    </row>
    <row r="70" customFormat="false" ht="60" hidden="false" customHeight="true" outlineLevel="0" collapsed="false">
      <c r="A70" s="17" t="s">
        <v>279</v>
      </c>
      <c r="B70" s="11" t="n">
        <v>4</v>
      </c>
      <c r="C70" s="12" t="s">
        <v>13</v>
      </c>
      <c r="D70" s="11" t="s">
        <v>80</v>
      </c>
      <c r="E70" s="12" t="s">
        <v>1057</v>
      </c>
      <c r="F70" s="12" t="s">
        <v>1058</v>
      </c>
      <c r="G70" s="11"/>
      <c r="H70" s="12" t="s">
        <v>544</v>
      </c>
      <c r="I70" s="12" t="s">
        <v>86</v>
      </c>
      <c r="J70" s="14" t="s">
        <v>85</v>
      </c>
      <c r="K70" s="11" t="s">
        <v>86</v>
      </c>
      <c r="L70" s="11" t="s">
        <v>87</v>
      </c>
      <c r="M70" s="12" t="s">
        <v>301</v>
      </c>
      <c r="N70" s="12" t="s">
        <v>89</v>
      </c>
      <c r="O70" s="15" t="s">
        <v>1059</v>
      </c>
      <c r="P70" s="11" t="s">
        <v>136</v>
      </c>
      <c r="Q70" s="12" t="s">
        <v>1060</v>
      </c>
      <c r="R70" s="12" t="s">
        <v>1061</v>
      </c>
      <c r="S70" s="12" t="s">
        <v>1062</v>
      </c>
      <c r="T70" s="11" t="s">
        <v>95</v>
      </c>
      <c r="U70" s="11" t="s">
        <v>452</v>
      </c>
      <c r="V70" s="11" t="s">
        <v>97</v>
      </c>
      <c r="W70" s="12" t="s">
        <v>1063</v>
      </c>
      <c r="X70" s="11" t="s">
        <v>1064</v>
      </c>
      <c r="Y70" s="12" t="s">
        <v>1065</v>
      </c>
      <c r="Z70" s="12" t="s">
        <v>101</v>
      </c>
      <c r="AA70" s="12" t="s">
        <v>102</v>
      </c>
      <c r="AB70" s="12" t="s">
        <v>1066</v>
      </c>
      <c r="AC70" s="12" t="s">
        <v>1067</v>
      </c>
      <c r="AD70" s="12" t="s">
        <v>1068</v>
      </c>
      <c r="AE70" s="12" t="s">
        <v>106</v>
      </c>
      <c r="AF70" s="12" t="s">
        <v>1069</v>
      </c>
      <c r="AG70" s="12" t="s">
        <v>1070</v>
      </c>
    </row>
    <row r="71" customFormat="false" ht="60" hidden="false" customHeight="true" outlineLevel="0" collapsed="false">
      <c r="A71" s="17" t="s">
        <v>279</v>
      </c>
      <c r="B71" s="11" t="n">
        <v>4</v>
      </c>
      <c r="C71" s="12" t="s">
        <v>109</v>
      </c>
      <c r="D71" s="11" t="s">
        <v>110</v>
      </c>
      <c r="E71" s="12" t="s">
        <v>1071</v>
      </c>
      <c r="F71" s="12" t="s">
        <v>1072</v>
      </c>
      <c r="G71" s="11"/>
      <c r="H71" s="12" t="s">
        <v>487</v>
      </c>
      <c r="I71" s="12" t="s">
        <v>134</v>
      </c>
      <c r="J71" s="14" t="s">
        <v>1073</v>
      </c>
      <c r="K71" s="11" t="s">
        <v>86</v>
      </c>
      <c r="L71" s="11" t="s">
        <v>114</v>
      </c>
      <c r="M71" s="12" t="s">
        <v>284</v>
      </c>
      <c r="N71" s="12" t="s">
        <v>89</v>
      </c>
      <c r="O71" s="15" t="s">
        <v>1074</v>
      </c>
      <c r="P71" s="11" t="s">
        <v>136</v>
      </c>
      <c r="Q71" s="12" t="s">
        <v>1075</v>
      </c>
      <c r="R71" s="12" t="s">
        <v>1076</v>
      </c>
      <c r="S71" s="12" t="s">
        <v>1077</v>
      </c>
      <c r="T71" s="11" t="s">
        <v>95</v>
      </c>
      <c r="U71" s="11" t="s">
        <v>1078</v>
      </c>
      <c r="V71" s="11" t="s">
        <v>97</v>
      </c>
      <c r="W71" s="12" t="s">
        <v>1079</v>
      </c>
      <c r="X71" s="11" t="s">
        <v>1080</v>
      </c>
      <c r="Y71" s="12" t="s">
        <v>1081</v>
      </c>
      <c r="Z71" s="12" t="s">
        <v>101</v>
      </c>
      <c r="AA71" s="12" t="s">
        <v>102</v>
      </c>
      <c r="AB71" s="12" t="s">
        <v>1082</v>
      </c>
      <c r="AC71" s="12" t="s">
        <v>1083</v>
      </c>
      <c r="AD71" s="12" t="s">
        <v>1084</v>
      </c>
      <c r="AE71" s="12" t="s">
        <v>106</v>
      </c>
      <c r="AF71" s="12" t="s">
        <v>1085</v>
      </c>
      <c r="AG71" s="12" t="s">
        <v>1086</v>
      </c>
    </row>
    <row r="72" customFormat="false" ht="60" hidden="false" customHeight="true" outlineLevel="0" collapsed="false">
      <c r="A72" s="17" t="s">
        <v>279</v>
      </c>
      <c r="B72" s="11" t="n">
        <v>4</v>
      </c>
      <c r="C72" s="12" t="s">
        <v>297</v>
      </c>
      <c r="D72" s="11" t="s">
        <v>110</v>
      </c>
      <c r="E72" s="12" t="s">
        <v>1071</v>
      </c>
      <c r="F72" s="12" t="s">
        <v>1087</v>
      </c>
      <c r="G72" s="11"/>
      <c r="H72" s="12" t="s">
        <v>544</v>
      </c>
      <c r="I72" s="12" t="s">
        <v>86</v>
      </c>
      <c r="J72" s="14" t="s">
        <v>85</v>
      </c>
      <c r="K72" s="11" t="s">
        <v>86</v>
      </c>
      <c r="L72" s="11" t="s">
        <v>87</v>
      </c>
      <c r="M72" s="12" t="s">
        <v>284</v>
      </c>
      <c r="N72" s="12" t="s">
        <v>89</v>
      </c>
      <c r="O72" s="15" t="s">
        <v>1088</v>
      </c>
      <c r="P72" s="11" t="s">
        <v>136</v>
      </c>
      <c r="Q72" s="12" t="s">
        <v>1089</v>
      </c>
      <c r="R72" s="12" t="s">
        <v>1076</v>
      </c>
      <c r="S72" s="12" t="s">
        <v>1090</v>
      </c>
      <c r="T72" s="11" t="s">
        <v>95</v>
      </c>
      <c r="U72" s="11" t="s">
        <v>1078</v>
      </c>
      <c r="V72" s="11" t="s">
        <v>97</v>
      </c>
      <c r="W72" s="12" t="s">
        <v>1091</v>
      </c>
      <c r="X72" s="11" t="s">
        <v>1092</v>
      </c>
      <c r="Y72" s="12" t="s">
        <v>1093</v>
      </c>
      <c r="Z72" s="12" t="s">
        <v>101</v>
      </c>
      <c r="AA72" s="12" t="s">
        <v>310</v>
      </c>
      <c r="AB72" s="12" t="s">
        <v>1094</v>
      </c>
      <c r="AC72" s="12" t="s">
        <v>1095</v>
      </c>
      <c r="AD72" s="12" t="s">
        <v>1096</v>
      </c>
      <c r="AE72" s="12" t="s">
        <v>127</v>
      </c>
      <c r="AF72" s="12"/>
      <c r="AG72" s="12" t="s">
        <v>1097</v>
      </c>
    </row>
    <row r="73" customFormat="false" ht="60" hidden="false" customHeight="true" outlineLevel="0" collapsed="false">
      <c r="A73" s="17" t="s">
        <v>279</v>
      </c>
      <c r="B73" s="11" t="n">
        <v>4</v>
      </c>
      <c r="C73" s="12" t="s">
        <v>109</v>
      </c>
      <c r="D73" s="11" t="s">
        <v>110</v>
      </c>
      <c r="E73" s="12" t="s">
        <v>1098</v>
      </c>
      <c r="F73" s="12" t="s">
        <v>1099</v>
      </c>
      <c r="G73" s="11"/>
      <c r="H73" s="12" t="s">
        <v>544</v>
      </c>
      <c r="I73" s="12" t="s">
        <v>86</v>
      </c>
      <c r="J73" s="14" t="s">
        <v>85</v>
      </c>
      <c r="K73" s="11" t="s">
        <v>86</v>
      </c>
      <c r="L73" s="11" t="s">
        <v>87</v>
      </c>
      <c r="M73" s="12" t="s">
        <v>88</v>
      </c>
      <c r="N73" s="12" t="s">
        <v>1100</v>
      </c>
      <c r="O73" s="15" t="s">
        <v>1101</v>
      </c>
      <c r="P73" s="11" t="s">
        <v>136</v>
      </c>
      <c r="Q73" s="12" t="s">
        <v>1102</v>
      </c>
      <c r="R73" s="12" t="s">
        <v>1103</v>
      </c>
      <c r="S73" s="12" t="s">
        <v>1104</v>
      </c>
      <c r="T73" s="11" t="s">
        <v>95</v>
      </c>
      <c r="U73" s="11" t="s">
        <v>184</v>
      </c>
      <c r="V73" s="11" t="s">
        <v>97</v>
      </c>
      <c r="W73" s="12" t="s">
        <v>1105</v>
      </c>
      <c r="X73" s="11" t="s">
        <v>1106</v>
      </c>
      <c r="Y73" s="12" t="s">
        <v>1107</v>
      </c>
      <c r="Z73" s="12" t="s">
        <v>101</v>
      </c>
      <c r="AA73" s="12" t="s">
        <v>102</v>
      </c>
      <c r="AB73" s="12" t="s">
        <v>1108</v>
      </c>
      <c r="AC73" s="12" t="s">
        <v>1109</v>
      </c>
      <c r="AD73" s="12" t="s">
        <v>1110</v>
      </c>
      <c r="AE73" s="12" t="s">
        <v>127</v>
      </c>
      <c r="AF73" s="12"/>
      <c r="AG73" s="12" t="s">
        <v>1111</v>
      </c>
    </row>
    <row r="74" customFormat="false" ht="60" hidden="false" customHeight="true" outlineLevel="0" collapsed="false">
      <c r="A74" s="17" t="s">
        <v>279</v>
      </c>
      <c r="B74" s="11" t="n">
        <v>4</v>
      </c>
      <c r="C74" s="12" t="s">
        <v>109</v>
      </c>
      <c r="D74" s="11" t="s">
        <v>110</v>
      </c>
      <c r="E74" s="12" t="s">
        <v>1112</v>
      </c>
      <c r="F74" s="12" t="s">
        <v>1113</v>
      </c>
      <c r="G74" s="11"/>
      <c r="H74" s="12" t="s">
        <v>544</v>
      </c>
      <c r="I74" s="12" t="s">
        <v>86</v>
      </c>
      <c r="J74" s="14" t="s">
        <v>240</v>
      </c>
      <c r="K74" s="11" t="s">
        <v>86</v>
      </c>
      <c r="L74" s="11" t="s">
        <v>87</v>
      </c>
      <c r="M74" s="12" t="s">
        <v>301</v>
      </c>
      <c r="N74" s="12" t="s">
        <v>1114</v>
      </c>
      <c r="O74" s="15" t="s">
        <v>1115</v>
      </c>
      <c r="P74" s="11" t="s">
        <v>628</v>
      </c>
      <c r="Q74" s="12" t="s">
        <v>1116</v>
      </c>
      <c r="R74" s="12" t="s">
        <v>1117</v>
      </c>
      <c r="S74" s="12" t="s">
        <v>1118</v>
      </c>
      <c r="T74" s="11" t="s">
        <v>95</v>
      </c>
      <c r="U74" s="11" t="s">
        <v>920</v>
      </c>
      <c r="V74" s="11" t="s">
        <v>97</v>
      </c>
      <c r="W74" s="12" t="s">
        <v>1119</v>
      </c>
      <c r="X74" s="11" t="s">
        <v>86</v>
      </c>
      <c r="Y74" s="12" t="s">
        <v>1120</v>
      </c>
      <c r="Z74" s="12" t="s">
        <v>101</v>
      </c>
      <c r="AA74" s="12" t="s">
        <v>102</v>
      </c>
      <c r="AB74" s="12" t="s">
        <v>1121</v>
      </c>
      <c r="AC74" s="12" t="s">
        <v>1122</v>
      </c>
      <c r="AD74" s="12" t="s">
        <v>1123</v>
      </c>
      <c r="AE74" s="12" t="s">
        <v>106</v>
      </c>
      <c r="AF74" s="12" t="s">
        <v>1124</v>
      </c>
      <c r="AG74" s="12" t="s">
        <v>1125</v>
      </c>
    </row>
    <row r="75" customFormat="false" ht="60" hidden="false" customHeight="true" outlineLevel="0" collapsed="false">
      <c r="A75" s="17" t="s">
        <v>279</v>
      </c>
      <c r="B75" s="11" t="n">
        <v>4</v>
      </c>
      <c r="C75" s="12" t="s">
        <v>297</v>
      </c>
      <c r="D75" s="11" t="s">
        <v>110</v>
      </c>
      <c r="E75" s="12" t="s">
        <v>699</v>
      </c>
      <c r="F75" s="12" t="s">
        <v>1126</v>
      </c>
      <c r="G75" s="11"/>
      <c r="H75" s="12" t="s">
        <v>487</v>
      </c>
      <c r="I75" s="12" t="s">
        <v>134</v>
      </c>
      <c r="J75" s="14" t="s">
        <v>85</v>
      </c>
      <c r="K75" s="11" t="s">
        <v>86</v>
      </c>
      <c r="L75" s="11" t="s">
        <v>87</v>
      </c>
      <c r="M75" s="12" t="s">
        <v>284</v>
      </c>
      <c r="N75" s="12" t="s">
        <v>89</v>
      </c>
      <c r="O75" s="15" t="s">
        <v>1127</v>
      </c>
      <c r="P75" s="11" t="s">
        <v>91</v>
      </c>
      <c r="Q75" s="12" t="s">
        <v>1128</v>
      </c>
      <c r="R75" s="12" t="s">
        <v>304</v>
      </c>
      <c r="S75" s="12" t="s">
        <v>703</v>
      </c>
      <c r="T75" s="11" t="s">
        <v>95</v>
      </c>
      <c r="U75" s="11" t="s">
        <v>704</v>
      </c>
      <c r="V75" s="11" t="s">
        <v>97</v>
      </c>
      <c r="W75" s="12" t="s">
        <v>1129</v>
      </c>
      <c r="X75" s="11" t="s">
        <v>1130</v>
      </c>
      <c r="Y75" s="12" t="s">
        <v>1131</v>
      </c>
      <c r="Z75" s="12" t="s">
        <v>101</v>
      </c>
      <c r="AA75" s="12" t="s">
        <v>310</v>
      </c>
      <c r="AB75" s="12" t="s">
        <v>1132</v>
      </c>
      <c r="AC75" s="12" t="s">
        <v>1133</v>
      </c>
      <c r="AD75" s="12" t="s">
        <v>1134</v>
      </c>
      <c r="AE75" s="12" t="s">
        <v>106</v>
      </c>
      <c r="AF75" s="12" t="s">
        <v>1135</v>
      </c>
      <c r="AG75" s="12" t="s">
        <v>1136</v>
      </c>
    </row>
    <row r="76" customFormat="false" ht="60" hidden="false" customHeight="true" outlineLevel="0" collapsed="false">
      <c r="A76" s="17" t="s">
        <v>279</v>
      </c>
      <c r="B76" s="11" t="n">
        <v>4</v>
      </c>
      <c r="C76" s="12" t="s">
        <v>109</v>
      </c>
      <c r="D76" s="11" t="s">
        <v>110</v>
      </c>
      <c r="E76" s="12" t="s">
        <v>1137</v>
      </c>
      <c r="F76" s="12" t="s">
        <v>1138</v>
      </c>
      <c r="G76" s="11"/>
      <c r="H76" s="12" t="s">
        <v>544</v>
      </c>
      <c r="I76" s="12" t="s">
        <v>86</v>
      </c>
      <c r="J76" s="14" t="s">
        <v>85</v>
      </c>
      <c r="K76" s="11" t="s">
        <v>86</v>
      </c>
      <c r="L76" s="11" t="s">
        <v>87</v>
      </c>
      <c r="M76" s="12" t="s">
        <v>301</v>
      </c>
      <c r="N76" s="12" t="s">
        <v>89</v>
      </c>
      <c r="O76" s="15" t="s">
        <v>1139</v>
      </c>
      <c r="P76" s="11" t="s">
        <v>136</v>
      </c>
      <c r="Q76" s="12" t="s">
        <v>1140</v>
      </c>
      <c r="R76" s="12" t="s">
        <v>1141</v>
      </c>
      <c r="S76" s="12" t="s">
        <v>1142</v>
      </c>
      <c r="T76" s="11" t="s">
        <v>183</v>
      </c>
      <c r="U76" s="11" t="s">
        <v>743</v>
      </c>
      <c r="V76" s="11" t="s">
        <v>97</v>
      </c>
      <c r="W76" s="12" t="s">
        <v>1143</v>
      </c>
      <c r="X76" s="11" t="s">
        <v>86</v>
      </c>
      <c r="Y76" s="12" t="s">
        <v>1144</v>
      </c>
      <c r="Z76" s="12" t="s">
        <v>101</v>
      </c>
      <c r="AA76" s="12" t="s">
        <v>102</v>
      </c>
      <c r="AB76" s="12" t="s">
        <v>1145</v>
      </c>
      <c r="AC76" s="12" t="s">
        <v>1146</v>
      </c>
      <c r="AD76" s="12" t="s">
        <v>1147</v>
      </c>
      <c r="AE76" s="12" t="s">
        <v>596</v>
      </c>
      <c r="AF76" s="12" t="s">
        <v>1148</v>
      </c>
      <c r="AG76" s="12" t="s">
        <v>1149</v>
      </c>
    </row>
    <row r="77" customFormat="false" ht="60" hidden="false" customHeight="true" outlineLevel="0" collapsed="false">
      <c r="A77" s="17" t="s">
        <v>279</v>
      </c>
      <c r="B77" s="11" t="n">
        <v>4</v>
      </c>
      <c r="C77" s="12" t="s">
        <v>297</v>
      </c>
      <c r="D77" s="11" t="s">
        <v>110</v>
      </c>
      <c r="E77" s="12" t="s">
        <v>1150</v>
      </c>
      <c r="F77" s="12" t="s">
        <v>1151</v>
      </c>
      <c r="G77" s="11"/>
      <c r="H77" s="12" t="s">
        <v>544</v>
      </c>
      <c r="I77" s="12" t="s">
        <v>86</v>
      </c>
      <c r="J77" s="14" t="s">
        <v>85</v>
      </c>
      <c r="K77" s="11" t="s">
        <v>86</v>
      </c>
      <c r="L77" s="11" t="s">
        <v>87</v>
      </c>
      <c r="M77" s="12" t="s">
        <v>284</v>
      </c>
      <c r="N77" s="12" t="s">
        <v>89</v>
      </c>
      <c r="O77" s="15" t="s">
        <v>1152</v>
      </c>
      <c r="P77" s="11" t="s">
        <v>136</v>
      </c>
      <c r="Q77" s="12" t="s">
        <v>1153</v>
      </c>
      <c r="R77" s="12" t="s">
        <v>1154</v>
      </c>
      <c r="S77" s="12" t="s">
        <v>861</v>
      </c>
      <c r="T77" s="11" t="s">
        <v>183</v>
      </c>
      <c r="U77" s="11" t="s">
        <v>743</v>
      </c>
      <c r="V77" s="11" t="s">
        <v>97</v>
      </c>
      <c r="W77" s="12" t="s">
        <v>1155</v>
      </c>
      <c r="X77" s="11" t="s">
        <v>1156</v>
      </c>
      <c r="Y77" s="12" t="s">
        <v>1157</v>
      </c>
      <c r="Z77" s="12" t="s">
        <v>101</v>
      </c>
      <c r="AA77" s="12" t="s">
        <v>310</v>
      </c>
      <c r="AB77" s="12" t="s">
        <v>1158</v>
      </c>
      <c r="AC77" s="12" t="s">
        <v>1159</v>
      </c>
      <c r="AD77" s="12" t="s">
        <v>1160</v>
      </c>
      <c r="AE77" s="12" t="s">
        <v>106</v>
      </c>
      <c r="AF77" s="12" t="s">
        <v>1161</v>
      </c>
      <c r="AG77" s="12" t="s">
        <v>1162</v>
      </c>
    </row>
    <row r="78" customFormat="false" ht="60" hidden="false" customHeight="true" outlineLevel="0" collapsed="false">
      <c r="A78" s="17" t="s">
        <v>279</v>
      </c>
      <c r="B78" s="11" t="n">
        <v>4</v>
      </c>
      <c r="C78" s="12" t="s">
        <v>109</v>
      </c>
      <c r="D78" s="11" t="s">
        <v>110</v>
      </c>
      <c r="E78" s="12" t="s">
        <v>1163</v>
      </c>
      <c r="F78" s="12" t="s">
        <v>1164</v>
      </c>
      <c r="G78" s="11"/>
      <c r="H78" s="12" t="s">
        <v>487</v>
      </c>
      <c r="I78" s="12" t="s">
        <v>134</v>
      </c>
      <c r="J78" s="14" t="s">
        <v>1073</v>
      </c>
      <c r="K78" s="11" t="s">
        <v>86</v>
      </c>
      <c r="L78" s="11" t="s">
        <v>114</v>
      </c>
      <c r="M78" s="12" t="s">
        <v>284</v>
      </c>
      <c r="N78" s="12" t="s">
        <v>89</v>
      </c>
      <c r="O78" s="15" t="s">
        <v>1165</v>
      </c>
      <c r="P78" s="11" t="s">
        <v>136</v>
      </c>
      <c r="Q78" s="12" t="s">
        <v>1116</v>
      </c>
      <c r="R78" s="12" t="s">
        <v>741</v>
      </c>
      <c r="S78" s="12" t="s">
        <v>1166</v>
      </c>
      <c r="T78" s="11" t="s">
        <v>183</v>
      </c>
      <c r="U78" s="11" t="s">
        <v>743</v>
      </c>
      <c r="V78" s="11" t="s">
        <v>97</v>
      </c>
      <c r="W78" s="12" t="s">
        <v>1167</v>
      </c>
      <c r="X78" s="11" t="s">
        <v>1168</v>
      </c>
      <c r="Y78" s="12" t="s">
        <v>1169</v>
      </c>
      <c r="Z78" s="12" t="s">
        <v>101</v>
      </c>
      <c r="AA78" s="12" t="s">
        <v>102</v>
      </c>
      <c r="AB78" s="12" t="s">
        <v>1170</v>
      </c>
      <c r="AC78" s="12" t="s">
        <v>1171</v>
      </c>
      <c r="AD78" s="12" t="s">
        <v>1172</v>
      </c>
      <c r="AE78" s="12" t="s">
        <v>106</v>
      </c>
      <c r="AF78" s="12" t="s">
        <v>1173</v>
      </c>
      <c r="AG78" s="12" t="s">
        <v>1174</v>
      </c>
    </row>
    <row r="79" customFormat="false" ht="60" hidden="false" customHeight="true" outlineLevel="0" collapsed="false">
      <c r="A79" s="17" t="s">
        <v>279</v>
      </c>
      <c r="B79" s="11" t="n">
        <v>4</v>
      </c>
      <c r="C79" s="12" t="s">
        <v>297</v>
      </c>
      <c r="D79" s="11" t="s">
        <v>110</v>
      </c>
      <c r="E79" s="12" t="s">
        <v>1163</v>
      </c>
      <c r="F79" s="12" t="s">
        <v>1175</v>
      </c>
      <c r="G79" s="11"/>
      <c r="H79" s="12" t="s">
        <v>487</v>
      </c>
      <c r="I79" s="12" t="s">
        <v>134</v>
      </c>
      <c r="J79" s="14" t="s">
        <v>113</v>
      </c>
      <c r="K79" s="11" t="s">
        <v>86</v>
      </c>
      <c r="L79" s="11" t="s">
        <v>114</v>
      </c>
      <c r="M79" s="12" t="s">
        <v>284</v>
      </c>
      <c r="N79" s="12" t="s">
        <v>89</v>
      </c>
      <c r="O79" s="15" t="s">
        <v>1176</v>
      </c>
      <c r="P79" s="11" t="s">
        <v>136</v>
      </c>
      <c r="Q79" s="12" t="s">
        <v>1177</v>
      </c>
      <c r="R79" s="12" t="s">
        <v>1178</v>
      </c>
      <c r="S79" s="12" t="s">
        <v>1179</v>
      </c>
      <c r="T79" s="11" t="s">
        <v>95</v>
      </c>
      <c r="U79" s="11" t="s">
        <v>743</v>
      </c>
      <c r="V79" s="11" t="s">
        <v>97</v>
      </c>
      <c r="W79" s="12" t="s">
        <v>1180</v>
      </c>
      <c r="X79" s="11" t="s">
        <v>1181</v>
      </c>
      <c r="Y79" s="12" t="s">
        <v>1182</v>
      </c>
      <c r="Z79" s="12" t="s">
        <v>101</v>
      </c>
      <c r="AA79" s="12" t="s">
        <v>310</v>
      </c>
      <c r="AB79" s="12" t="s">
        <v>1183</v>
      </c>
      <c r="AC79" s="12" t="s">
        <v>1184</v>
      </c>
      <c r="AD79" s="12" t="s">
        <v>1185</v>
      </c>
      <c r="AE79" s="12" t="s">
        <v>106</v>
      </c>
      <c r="AF79" s="12" t="s">
        <v>1186</v>
      </c>
      <c r="AG79" s="12" t="s">
        <v>1187</v>
      </c>
    </row>
    <row r="80" customFormat="false" ht="60" hidden="false" customHeight="true" outlineLevel="0" collapsed="false">
      <c r="A80" s="17" t="s">
        <v>279</v>
      </c>
      <c r="B80" s="11" t="n">
        <v>4</v>
      </c>
      <c r="C80" s="12" t="s">
        <v>297</v>
      </c>
      <c r="D80" s="11" t="s">
        <v>110</v>
      </c>
      <c r="E80" s="12" t="s">
        <v>737</v>
      </c>
      <c r="F80" s="12" t="s">
        <v>1188</v>
      </c>
      <c r="G80" s="11"/>
      <c r="H80" s="12" t="s">
        <v>544</v>
      </c>
      <c r="I80" s="12" t="s">
        <v>86</v>
      </c>
      <c r="J80" s="14" t="s">
        <v>113</v>
      </c>
      <c r="K80" s="11" t="s">
        <v>86</v>
      </c>
      <c r="L80" s="11" t="s">
        <v>114</v>
      </c>
      <c r="M80" s="12" t="s">
        <v>333</v>
      </c>
      <c r="N80" s="12" t="s">
        <v>89</v>
      </c>
      <c r="O80" s="15" t="s">
        <v>1189</v>
      </c>
      <c r="P80" s="11" t="s">
        <v>136</v>
      </c>
      <c r="Q80" s="12" t="s">
        <v>1190</v>
      </c>
      <c r="R80" s="12" t="s">
        <v>741</v>
      </c>
      <c r="S80" s="12" t="s">
        <v>1191</v>
      </c>
      <c r="T80" s="11" t="s">
        <v>183</v>
      </c>
      <c r="U80" s="11" t="s">
        <v>743</v>
      </c>
      <c r="V80" s="11" t="s">
        <v>97</v>
      </c>
      <c r="W80" s="12" t="s">
        <v>1192</v>
      </c>
      <c r="X80" s="11" t="s">
        <v>1193</v>
      </c>
      <c r="Y80" s="12" t="s">
        <v>1194</v>
      </c>
      <c r="Z80" s="12" t="s">
        <v>101</v>
      </c>
      <c r="AA80" s="12" t="s">
        <v>310</v>
      </c>
      <c r="AB80" s="12" t="s">
        <v>1195</v>
      </c>
      <c r="AC80" s="12" t="s">
        <v>1196</v>
      </c>
      <c r="AD80" s="12" t="s">
        <v>1197</v>
      </c>
      <c r="AE80" s="12" t="s">
        <v>106</v>
      </c>
      <c r="AF80" s="12" t="s">
        <v>1198</v>
      </c>
      <c r="AG80" s="12" t="s">
        <v>1199</v>
      </c>
    </row>
    <row r="81" customFormat="false" ht="60" hidden="false" customHeight="true" outlineLevel="0" collapsed="false">
      <c r="A81" s="17" t="s">
        <v>279</v>
      </c>
      <c r="B81" s="11" t="n">
        <v>4</v>
      </c>
      <c r="C81" s="12" t="s">
        <v>297</v>
      </c>
      <c r="D81" s="11" t="s">
        <v>110</v>
      </c>
      <c r="E81" s="12" t="s">
        <v>1200</v>
      </c>
      <c r="F81" s="12" t="s">
        <v>1201</v>
      </c>
      <c r="G81" s="11"/>
      <c r="H81" s="12" t="s">
        <v>487</v>
      </c>
      <c r="I81" s="12" t="s">
        <v>134</v>
      </c>
      <c r="J81" s="14" t="s">
        <v>113</v>
      </c>
      <c r="K81" s="11" t="s">
        <v>86</v>
      </c>
      <c r="L81" s="11" t="s">
        <v>114</v>
      </c>
      <c r="M81" s="12" t="s">
        <v>301</v>
      </c>
      <c r="N81" s="12" t="s">
        <v>89</v>
      </c>
      <c r="O81" s="15" t="s">
        <v>1202</v>
      </c>
      <c r="P81" s="11" t="s">
        <v>136</v>
      </c>
      <c r="Q81" s="12" t="s">
        <v>1203</v>
      </c>
      <c r="R81" s="12" t="s">
        <v>1204</v>
      </c>
      <c r="S81" s="12" t="s">
        <v>1205</v>
      </c>
      <c r="T81" s="11" t="s">
        <v>183</v>
      </c>
      <c r="U81" s="11" t="s">
        <v>1206</v>
      </c>
      <c r="V81" s="11" t="s">
        <v>97</v>
      </c>
      <c r="W81" s="12" t="s">
        <v>1207</v>
      </c>
      <c r="X81" s="11" t="s">
        <v>1208</v>
      </c>
      <c r="Y81" s="12" t="s">
        <v>1209</v>
      </c>
      <c r="Z81" s="12" t="s">
        <v>101</v>
      </c>
      <c r="AA81" s="12" t="s">
        <v>310</v>
      </c>
      <c r="AB81" s="12" t="s">
        <v>1210</v>
      </c>
      <c r="AC81" s="12" t="s">
        <v>1211</v>
      </c>
      <c r="AD81" s="12" t="s">
        <v>1212</v>
      </c>
      <c r="AE81" s="12" t="s">
        <v>106</v>
      </c>
      <c r="AF81" s="12" t="s">
        <v>1213</v>
      </c>
      <c r="AG81" s="12" t="s">
        <v>1214</v>
      </c>
    </row>
    <row r="82" customFormat="false" ht="60" hidden="false" customHeight="true" outlineLevel="0" collapsed="false">
      <c r="A82" s="17" t="s">
        <v>279</v>
      </c>
      <c r="B82" s="11" t="n">
        <v>4</v>
      </c>
      <c r="C82" s="12" t="s">
        <v>297</v>
      </c>
      <c r="D82" s="11" t="s">
        <v>110</v>
      </c>
      <c r="E82" s="12" t="s">
        <v>1215</v>
      </c>
      <c r="F82" s="12" t="s">
        <v>1216</v>
      </c>
      <c r="G82" s="11"/>
      <c r="H82" s="12" t="s">
        <v>487</v>
      </c>
      <c r="I82" s="12" t="s">
        <v>134</v>
      </c>
      <c r="J82" s="14" t="s">
        <v>85</v>
      </c>
      <c r="K82" s="11" t="s">
        <v>86</v>
      </c>
      <c r="L82" s="11" t="s">
        <v>87</v>
      </c>
      <c r="M82" s="12" t="s">
        <v>301</v>
      </c>
      <c r="N82" s="12" t="s">
        <v>89</v>
      </c>
      <c r="O82" s="15" t="s">
        <v>1217</v>
      </c>
      <c r="P82" s="11" t="s">
        <v>136</v>
      </c>
      <c r="Q82" s="12" t="s">
        <v>1218</v>
      </c>
      <c r="R82" s="12" t="s">
        <v>304</v>
      </c>
      <c r="S82" s="12" t="s">
        <v>1219</v>
      </c>
      <c r="T82" s="11" t="s">
        <v>183</v>
      </c>
      <c r="U82" s="11" t="s">
        <v>306</v>
      </c>
      <c r="V82" s="11" t="s">
        <v>97</v>
      </c>
      <c r="W82" s="12" t="s">
        <v>1220</v>
      </c>
      <c r="X82" s="11" t="s">
        <v>1221</v>
      </c>
      <c r="Y82" s="12" t="s">
        <v>1222</v>
      </c>
      <c r="Z82" s="12" t="s">
        <v>101</v>
      </c>
      <c r="AA82" s="12" t="s">
        <v>310</v>
      </c>
      <c r="AB82" s="12" t="s">
        <v>1223</v>
      </c>
      <c r="AC82" s="12" t="s">
        <v>1224</v>
      </c>
      <c r="AD82" s="12" t="s">
        <v>1225</v>
      </c>
      <c r="AE82" s="12" t="s">
        <v>813</v>
      </c>
      <c r="AF82" s="12" t="s">
        <v>1226</v>
      </c>
      <c r="AG82" s="12" t="s">
        <v>1227</v>
      </c>
    </row>
    <row r="83" customFormat="false" ht="60" hidden="false" customHeight="true" outlineLevel="0" collapsed="false">
      <c r="A83" s="17" t="s">
        <v>279</v>
      </c>
      <c r="B83" s="11" t="n">
        <v>4</v>
      </c>
      <c r="C83" s="12" t="s">
        <v>109</v>
      </c>
      <c r="D83" s="11" t="s">
        <v>110</v>
      </c>
      <c r="E83" s="12" t="s">
        <v>844</v>
      </c>
      <c r="F83" s="12" t="s">
        <v>1228</v>
      </c>
      <c r="G83" s="11"/>
      <c r="H83" s="12" t="s">
        <v>544</v>
      </c>
      <c r="I83" s="12" t="s">
        <v>86</v>
      </c>
      <c r="J83" s="14" t="s">
        <v>1073</v>
      </c>
      <c r="K83" s="11" t="s">
        <v>86</v>
      </c>
      <c r="L83" s="11" t="s">
        <v>114</v>
      </c>
      <c r="M83" s="12" t="s">
        <v>284</v>
      </c>
      <c r="N83" s="12" t="s">
        <v>89</v>
      </c>
      <c r="O83" s="15" t="s">
        <v>1229</v>
      </c>
      <c r="P83" s="11" t="s">
        <v>136</v>
      </c>
      <c r="Q83" s="12" t="s">
        <v>1230</v>
      </c>
      <c r="R83" s="12" t="s">
        <v>848</v>
      </c>
      <c r="S83" s="12" t="s">
        <v>1231</v>
      </c>
      <c r="T83" s="11" t="s">
        <v>95</v>
      </c>
      <c r="U83" s="11" t="s">
        <v>261</v>
      </c>
      <c r="V83" s="11" t="s">
        <v>97</v>
      </c>
      <c r="W83" s="12" t="s">
        <v>1232</v>
      </c>
      <c r="X83" s="11" t="s">
        <v>1233</v>
      </c>
      <c r="Y83" s="12" t="s">
        <v>1234</v>
      </c>
      <c r="Z83" s="12" t="s">
        <v>101</v>
      </c>
      <c r="AA83" s="12" t="s">
        <v>102</v>
      </c>
      <c r="AB83" s="12" t="s">
        <v>1235</v>
      </c>
      <c r="AC83" s="12" t="s">
        <v>1236</v>
      </c>
      <c r="AD83" s="12" t="s">
        <v>1237</v>
      </c>
      <c r="AE83" s="12" t="s">
        <v>106</v>
      </c>
      <c r="AF83" s="12" t="s">
        <v>1238</v>
      </c>
      <c r="AG83" s="12" t="s">
        <v>1239</v>
      </c>
    </row>
    <row r="84" customFormat="false" ht="60" hidden="false" customHeight="true" outlineLevel="0" collapsed="false">
      <c r="A84" s="17" t="s">
        <v>279</v>
      </c>
      <c r="B84" s="11" t="n">
        <v>4</v>
      </c>
      <c r="C84" s="12" t="s">
        <v>237</v>
      </c>
      <c r="D84" s="11" t="s">
        <v>110</v>
      </c>
      <c r="E84" s="12" t="s">
        <v>1240</v>
      </c>
      <c r="F84" s="12" t="s">
        <v>1241</v>
      </c>
      <c r="G84" s="11"/>
      <c r="H84" s="12" t="s">
        <v>487</v>
      </c>
      <c r="I84" s="12" t="s">
        <v>134</v>
      </c>
      <c r="J84" s="14" t="s">
        <v>113</v>
      </c>
      <c r="K84" s="11" t="s">
        <v>86</v>
      </c>
      <c r="L84" s="11" t="s">
        <v>114</v>
      </c>
      <c r="M84" s="12" t="s">
        <v>88</v>
      </c>
      <c r="N84" s="12" t="s">
        <v>89</v>
      </c>
      <c r="O84" s="15" t="s">
        <v>1242</v>
      </c>
      <c r="P84" s="11" t="s">
        <v>136</v>
      </c>
      <c r="Q84" s="12" t="s">
        <v>1243</v>
      </c>
      <c r="R84" s="12" t="s">
        <v>1244</v>
      </c>
      <c r="S84" s="12" t="s">
        <v>1245</v>
      </c>
      <c r="T84" s="11" t="s">
        <v>95</v>
      </c>
      <c r="U84" s="11" t="s">
        <v>862</v>
      </c>
      <c r="V84" s="11" t="s">
        <v>97</v>
      </c>
      <c r="W84" s="12" t="s">
        <v>1246</v>
      </c>
      <c r="X84" s="11" t="s">
        <v>324</v>
      </c>
      <c r="Y84" s="12" t="s">
        <v>1247</v>
      </c>
      <c r="Z84" s="12" t="s">
        <v>101</v>
      </c>
      <c r="AA84" s="12" t="s">
        <v>102</v>
      </c>
      <c r="AB84" s="12" t="s">
        <v>1248</v>
      </c>
      <c r="AC84" s="12" t="s">
        <v>1249</v>
      </c>
      <c r="AD84" s="12" t="s">
        <v>1250</v>
      </c>
      <c r="AE84" s="12" t="s">
        <v>106</v>
      </c>
      <c r="AF84" s="12"/>
      <c r="AG84" s="12" t="s">
        <v>1251</v>
      </c>
    </row>
    <row r="85" customFormat="false" ht="60" hidden="false" customHeight="true" outlineLevel="0" collapsed="false">
      <c r="A85" s="17" t="s">
        <v>279</v>
      </c>
      <c r="B85" s="11" t="n">
        <v>4</v>
      </c>
      <c r="C85" s="12" t="s">
        <v>297</v>
      </c>
      <c r="D85" s="11" t="s">
        <v>110</v>
      </c>
      <c r="E85" s="12" t="s">
        <v>1252</v>
      </c>
      <c r="F85" s="12" t="s">
        <v>1253</v>
      </c>
      <c r="G85" s="11"/>
      <c r="H85" s="12" t="s">
        <v>487</v>
      </c>
      <c r="I85" s="12" t="s">
        <v>134</v>
      </c>
      <c r="J85" s="14" t="s">
        <v>85</v>
      </c>
      <c r="K85" s="11" t="s">
        <v>86</v>
      </c>
      <c r="L85" s="11" t="s">
        <v>87</v>
      </c>
      <c r="M85" s="12" t="s">
        <v>301</v>
      </c>
      <c r="N85" s="12" t="s">
        <v>89</v>
      </c>
      <c r="O85" s="15" t="s">
        <v>1254</v>
      </c>
      <c r="P85" s="11" t="s">
        <v>628</v>
      </c>
      <c r="Q85" s="12" t="s">
        <v>1255</v>
      </c>
      <c r="R85" s="12" t="s">
        <v>1256</v>
      </c>
      <c r="S85" s="12" t="s">
        <v>1257</v>
      </c>
      <c r="T85" s="11" t="s">
        <v>95</v>
      </c>
      <c r="U85" s="11" t="s">
        <v>1078</v>
      </c>
      <c r="V85" s="11" t="s">
        <v>97</v>
      </c>
      <c r="W85" s="12" t="s">
        <v>1258</v>
      </c>
      <c r="X85" s="11" t="s">
        <v>1259</v>
      </c>
      <c r="Y85" s="12" t="s">
        <v>1260</v>
      </c>
      <c r="Z85" s="12" t="s">
        <v>101</v>
      </c>
      <c r="AA85" s="12" t="s">
        <v>310</v>
      </c>
      <c r="AB85" s="12" t="s">
        <v>1261</v>
      </c>
      <c r="AC85" s="12" t="s">
        <v>1262</v>
      </c>
      <c r="AD85" s="12" t="s">
        <v>1263</v>
      </c>
      <c r="AE85" s="12" t="s">
        <v>127</v>
      </c>
      <c r="AF85" s="12"/>
      <c r="AG85" s="12" t="s">
        <v>1264</v>
      </c>
    </row>
    <row r="86" customFormat="false" ht="60" hidden="false" customHeight="true" outlineLevel="0" collapsed="false">
      <c r="A86" s="17" t="s">
        <v>279</v>
      </c>
      <c r="B86" s="11" t="n">
        <v>4</v>
      </c>
      <c r="C86" s="12" t="s">
        <v>13</v>
      </c>
      <c r="D86" s="11" t="s">
        <v>80</v>
      </c>
      <c r="E86" s="12" t="s">
        <v>1265</v>
      </c>
      <c r="F86" s="12" t="s">
        <v>1266</v>
      </c>
      <c r="G86" s="11"/>
      <c r="H86" s="12" t="s">
        <v>544</v>
      </c>
      <c r="I86" s="12" t="s">
        <v>86</v>
      </c>
      <c r="J86" s="14" t="s">
        <v>85</v>
      </c>
      <c r="K86" s="11" t="s">
        <v>86</v>
      </c>
      <c r="L86" s="11" t="s">
        <v>87</v>
      </c>
      <c r="M86" s="12" t="s">
        <v>333</v>
      </c>
      <c r="N86" s="12" t="s">
        <v>89</v>
      </c>
      <c r="O86" s="15" t="s">
        <v>1267</v>
      </c>
      <c r="P86" s="11" t="s">
        <v>136</v>
      </c>
      <c r="Q86" s="12" t="s">
        <v>1268</v>
      </c>
      <c r="R86" s="12" t="s">
        <v>1269</v>
      </c>
      <c r="S86" s="12" t="s">
        <v>1270</v>
      </c>
      <c r="T86" s="11" t="s">
        <v>95</v>
      </c>
      <c r="U86" s="11" t="s">
        <v>1271</v>
      </c>
      <c r="V86" s="11" t="s">
        <v>97</v>
      </c>
      <c r="W86" s="12" t="s">
        <v>1272</v>
      </c>
      <c r="X86" s="11" t="s">
        <v>1273</v>
      </c>
      <c r="Y86" s="12" t="s">
        <v>1274</v>
      </c>
      <c r="Z86" s="12" t="s">
        <v>101</v>
      </c>
      <c r="AA86" s="12" t="s">
        <v>102</v>
      </c>
      <c r="AB86" s="12" t="s">
        <v>1275</v>
      </c>
      <c r="AC86" s="12" t="s">
        <v>1276</v>
      </c>
      <c r="AD86" s="12" t="s">
        <v>1277</v>
      </c>
      <c r="AE86" s="12" t="s">
        <v>106</v>
      </c>
      <c r="AF86" s="12" t="s">
        <v>1278</v>
      </c>
      <c r="AG86" s="12" t="s">
        <v>1279</v>
      </c>
    </row>
    <row r="87" customFormat="false" ht="60" hidden="false" customHeight="true" outlineLevel="0" collapsed="false">
      <c r="A87" s="17" t="s">
        <v>279</v>
      </c>
      <c r="B87" s="11" t="n">
        <v>4</v>
      </c>
      <c r="C87" s="12" t="s">
        <v>109</v>
      </c>
      <c r="D87" s="11" t="s">
        <v>110</v>
      </c>
      <c r="E87" s="12" t="s">
        <v>1280</v>
      </c>
      <c r="F87" s="12" t="s">
        <v>1281</v>
      </c>
      <c r="G87" s="11"/>
      <c r="H87" s="12" t="s">
        <v>487</v>
      </c>
      <c r="I87" s="12" t="s">
        <v>134</v>
      </c>
      <c r="J87" s="19" t="s">
        <v>1282</v>
      </c>
      <c r="K87" s="11" t="s">
        <v>531</v>
      </c>
      <c r="L87" s="11" t="s">
        <v>114</v>
      </c>
      <c r="M87" s="12" t="s">
        <v>284</v>
      </c>
      <c r="N87" s="12" t="s">
        <v>89</v>
      </c>
      <c r="O87" s="15" t="s">
        <v>1283</v>
      </c>
      <c r="P87" s="11" t="s">
        <v>136</v>
      </c>
      <c r="Q87" s="12" t="s">
        <v>1284</v>
      </c>
      <c r="R87" s="12" t="s">
        <v>1285</v>
      </c>
      <c r="S87" s="12" t="s">
        <v>1286</v>
      </c>
      <c r="T87" s="11" t="s">
        <v>95</v>
      </c>
      <c r="U87" s="11" t="s">
        <v>1287</v>
      </c>
      <c r="V87" s="11" t="s">
        <v>97</v>
      </c>
      <c r="W87" s="12" t="s">
        <v>1288</v>
      </c>
      <c r="X87" s="11" t="s">
        <v>1289</v>
      </c>
      <c r="Y87" s="12" t="s">
        <v>1290</v>
      </c>
      <c r="Z87" s="12" t="s">
        <v>101</v>
      </c>
      <c r="AA87" s="12" t="s">
        <v>536</v>
      </c>
      <c r="AB87" s="12" t="s">
        <v>1291</v>
      </c>
      <c r="AC87" s="12" t="s">
        <v>1292</v>
      </c>
      <c r="AD87" s="12" t="s">
        <v>1293</v>
      </c>
      <c r="AE87" s="12" t="s">
        <v>127</v>
      </c>
      <c r="AF87" s="12" t="s">
        <v>1294</v>
      </c>
      <c r="AG87" s="12" t="s">
        <v>1295</v>
      </c>
    </row>
    <row r="88" customFormat="false" ht="60" hidden="false" customHeight="true" outlineLevel="0" collapsed="false">
      <c r="A88" s="17" t="s">
        <v>279</v>
      </c>
      <c r="B88" s="11" t="n">
        <v>4</v>
      </c>
      <c r="C88" s="12" t="s">
        <v>297</v>
      </c>
      <c r="D88" s="11" t="s">
        <v>110</v>
      </c>
      <c r="E88" s="12" t="s">
        <v>1296</v>
      </c>
      <c r="F88" s="12" t="s">
        <v>1297</v>
      </c>
      <c r="G88" s="11"/>
      <c r="H88" s="12" t="s">
        <v>487</v>
      </c>
      <c r="I88" s="12" t="s">
        <v>134</v>
      </c>
      <c r="J88" s="14" t="s">
        <v>85</v>
      </c>
      <c r="K88" s="11" t="s">
        <v>86</v>
      </c>
      <c r="L88" s="11" t="s">
        <v>87</v>
      </c>
      <c r="M88" s="12" t="s">
        <v>284</v>
      </c>
      <c r="N88" s="12" t="s">
        <v>89</v>
      </c>
      <c r="O88" s="15" t="s">
        <v>1298</v>
      </c>
      <c r="P88" s="11" t="s">
        <v>136</v>
      </c>
      <c r="Q88" s="12" t="s">
        <v>1299</v>
      </c>
      <c r="R88" s="12" t="s">
        <v>1300</v>
      </c>
      <c r="S88" s="12" t="s">
        <v>1301</v>
      </c>
      <c r="T88" s="11" t="s">
        <v>183</v>
      </c>
      <c r="U88" s="11" t="s">
        <v>518</v>
      </c>
      <c r="V88" s="11" t="s">
        <v>97</v>
      </c>
      <c r="W88" s="12" t="s">
        <v>1302</v>
      </c>
      <c r="X88" s="11" t="s">
        <v>1303</v>
      </c>
      <c r="Y88" s="12" t="s">
        <v>1304</v>
      </c>
      <c r="Z88" s="12" t="s">
        <v>101</v>
      </c>
      <c r="AA88" s="12" t="s">
        <v>310</v>
      </c>
      <c r="AB88" s="12" t="s">
        <v>1305</v>
      </c>
      <c r="AC88" s="12" t="s">
        <v>1306</v>
      </c>
      <c r="AD88" s="12" t="s">
        <v>1307</v>
      </c>
      <c r="AE88" s="12" t="s">
        <v>106</v>
      </c>
      <c r="AF88" s="12"/>
      <c r="AG88" s="12" t="s">
        <v>1308</v>
      </c>
    </row>
    <row r="89" customFormat="false" ht="60" hidden="false" customHeight="true" outlineLevel="0" collapsed="false">
      <c r="A89" s="17" t="s">
        <v>279</v>
      </c>
      <c r="B89" s="11" t="n">
        <v>4</v>
      </c>
      <c r="C89" s="12" t="s">
        <v>13</v>
      </c>
      <c r="D89" s="11" t="s">
        <v>80</v>
      </c>
      <c r="E89" s="12" t="s">
        <v>1309</v>
      </c>
      <c r="F89" s="12" t="s">
        <v>1310</v>
      </c>
      <c r="G89" s="11"/>
      <c r="H89" s="12" t="s">
        <v>487</v>
      </c>
      <c r="I89" s="12" t="s">
        <v>134</v>
      </c>
      <c r="J89" s="14" t="s">
        <v>85</v>
      </c>
      <c r="K89" s="11" t="s">
        <v>86</v>
      </c>
      <c r="L89" s="11" t="s">
        <v>87</v>
      </c>
      <c r="M89" s="12" t="s">
        <v>88</v>
      </c>
      <c r="N89" s="12" t="s">
        <v>89</v>
      </c>
      <c r="O89" s="15" t="s">
        <v>1311</v>
      </c>
      <c r="P89" s="11" t="s">
        <v>91</v>
      </c>
      <c r="Q89" s="12" t="s">
        <v>1312</v>
      </c>
      <c r="R89" s="12" t="s">
        <v>1313</v>
      </c>
      <c r="S89" s="12" t="s">
        <v>1314</v>
      </c>
      <c r="T89" s="11" t="s">
        <v>95</v>
      </c>
      <c r="U89" s="11" t="s">
        <v>1315</v>
      </c>
      <c r="V89" s="11" t="s">
        <v>97</v>
      </c>
      <c r="W89" s="12" t="s">
        <v>1316</v>
      </c>
      <c r="X89" s="11" t="s">
        <v>425</v>
      </c>
      <c r="Y89" s="12" t="s">
        <v>1317</v>
      </c>
      <c r="Z89" s="12" t="s">
        <v>101</v>
      </c>
      <c r="AA89" s="12" t="s">
        <v>102</v>
      </c>
      <c r="AB89" s="12" t="s">
        <v>1318</v>
      </c>
      <c r="AC89" s="12" t="s">
        <v>1319</v>
      </c>
      <c r="AD89" s="12" t="s">
        <v>1320</v>
      </c>
      <c r="AE89" s="12" t="s">
        <v>106</v>
      </c>
      <c r="AF89" s="12" t="s">
        <v>1321</v>
      </c>
      <c r="AG89" s="12" t="s">
        <v>1322</v>
      </c>
    </row>
    <row r="90" customFormat="false" ht="60" hidden="false" customHeight="true" outlineLevel="0" collapsed="false">
      <c r="A90" s="17" t="s">
        <v>279</v>
      </c>
      <c r="B90" s="11" t="n">
        <v>4</v>
      </c>
      <c r="C90" s="12" t="s">
        <v>13</v>
      </c>
      <c r="D90" s="11" t="s">
        <v>80</v>
      </c>
      <c r="E90" s="12" t="s">
        <v>1309</v>
      </c>
      <c r="F90" s="12" t="s">
        <v>1323</v>
      </c>
      <c r="G90" s="11"/>
      <c r="H90" s="12" t="s">
        <v>487</v>
      </c>
      <c r="I90" s="12" t="s">
        <v>134</v>
      </c>
      <c r="J90" s="14" t="s">
        <v>85</v>
      </c>
      <c r="K90" s="11" t="s">
        <v>86</v>
      </c>
      <c r="L90" s="11" t="s">
        <v>87</v>
      </c>
      <c r="M90" s="12" t="s">
        <v>333</v>
      </c>
      <c r="N90" s="12" t="s">
        <v>89</v>
      </c>
      <c r="O90" s="15" t="s">
        <v>1321</v>
      </c>
      <c r="P90" s="11" t="s">
        <v>136</v>
      </c>
      <c r="Q90" s="12" t="s">
        <v>86</v>
      </c>
      <c r="R90" s="12" t="s">
        <v>1324</v>
      </c>
      <c r="S90" s="12" t="s">
        <v>182</v>
      </c>
      <c r="T90" s="11" t="s">
        <v>95</v>
      </c>
      <c r="U90" s="11" t="s">
        <v>1315</v>
      </c>
      <c r="V90" s="11" t="s">
        <v>97</v>
      </c>
      <c r="W90" s="12" t="s">
        <v>1325</v>
      </c>
      <c r="X90" s="11" t="s">
        <v>1326</v>
      </c>
      <c r="Y90" s="12" t="s">
        <v>1327</v>
      </c>
      <c r="Z90" s="12" t="s">
        <v>101</v>
      </c>
      <c r="AA90" s="12" t="s">
        <v>102</v>
      </c>
      <c r="AB90" s="12" t="s">
        <v>1328</v>
      </c>
      <c r="AC90" s="12" t="s">
        <v>1329</v>
      </c>
      <c r="AD90" s="12" t="s">
        <v>1330</v>
      </c>
      <c r="AE90" s="12" t="s">
        <v>813</v>
      </c>
      <c r="AF90" s="12"/>
      <c r="AG90" s="12" t="s">
        <v>1331</v>
      </c>
    </row>
    <row r="91" customFormat="false" ht="60" hidden="false" customHeight="true" outlineLevel="0" collapsed="false">
      <c r="A91" s="17" t="s">
        <v>279</v>
      </c>
      <c r="B91" s="11" t="n">
        <v>4</v>
      </c>
      <c r="C91" s="12" t="s">
        <v>13</v>
      </c>
      <c r="D91" s="11" t="s">
        <v>80</v>
      </c>
      <c r="E91" s="12" t="s">
        <v>953</v>
      </c>
      <c r="F91" s="12" t="s">
        <v>1332</v>
      </c>
      <c r="G91" s="11"/>
      <c r="H91" s="12" t="s">
        <v>487</v>
      </c>
      <c r="I91" s="12" t="s">
        <v>134</v>
      </c>
      <c r="J91" s="14" t="s">
        <v>113</v>
      </c>
      <c r="K91" s="11" t="s">
        <v>86</v>
      </c>
      <c r="L91" s="11" t="s">
        <v>114</v>
      </c>
      <c r="M91" s="12" t="s">
        <v>88</v>
      </c>
      <c r="N91" s="12" t="s">
        <v>89</v>
      </c>
      <c r="O91" s="15" t="s">
        <v>1333</v>
      </c>
      <c r="P91" s="11" t="s">
        <v>628</v>
      </c>
      <c r="Q91" s="12" t="s">
        <v>956</v>
      </c>
      <c r="R91" s="12" t="s">
        <v>957</v>
      </c>
      <c r="S91" s="12" t="s">
        <v>1334</v>
      </c>
      <c r="T91" s="11" t="s">
        <v>183</v>
      </c>
      <c r="U91" s="11" t="s">
        <v>198</v>
      </c>
      <c r="V91" s="11" t="s">
        <v>97</v>
      </c>
      <c r="W91" s="12" t="s">
        <v>1335</v>
      </c>
      <c r="X91" s="11" t="s">
        <v>141</v>
      </c>
      <c r="Y91" s="12" t="s">
        <v>1336</v>
      </c>
      <c r="Z91" s="12" t="s">
        <v>101</v>
      </c>
      <c r="AA91" s="12" t="s">
        <v>102</v>
      </c>
      <c r="AB91" s="12" t="s">
        <v>1337</v>
      </c>
      <c r="AC91" s="12" t="s">
        <v>1338</v>
      </c>
      <c r="AD91" s="12" t="s">
        <v>1339</v>
      </c>
      <c r="AE91" s="12" t="s">
        <v>127</v>
      </c>
      <c r="AF91" s="12"/>
      <c r="AG91" s="12" t="s">
        <v>1340</v>
      </c>
    </row>
    <row r="92" customFormat="false" ht="60" hidden="false" customHeight="true" outlineLevel="0" collapsed="false">
      <c r="A92" s="21" t="s">
        <v>1341</v>
      </c>
      <c r="B92" s="11" t="n">
        <v>4</v>
      </c>
      <c r="C92" s="12" t="s">
        <v>13</v>
      </c>
      <c r="D92" s="11" t="s">
        <v>80</v>
      </c>
      <c r="E92" s="12" t="s">
        <v>1342</v>
      </c>
      <c r="F92" s="12" t="s">
        <v>1343</v>
      </c>
      <c r="G92" s="13" t="n">
        <v>46295</v>
      </c>
      <c r="H92" s="12" t="s">
        <v>83</v>
      </c>
      <c r="I92" s="12" t="s">
        <v>1344</v>
      </c>
      <c r="J92" s="14" t="s">
        <v>85</v>
      </c>
      <c r="K92" s="11" t="s">
        <v>86</v>
      </c>
      <c r="L92" s="11" t="s">
        <v>87</v>
      </c>
      <c r="M92" s="12" t="s">
        <v>333</v>
      </c>
      <c r="N92" s="12" t="s">
        <v>89</v>
      </c>
      <c r="O92" s="15" t="s">
        <v>1345</v>
      </c>
      <c r="P92" s="11" t="s">
        <v>628</v>
      </c>
      <c r="Q92" s="12" t="s">
        <v>1346</v>
      </c>
      <c r="R92" s="12" t="s">
        <v>1347</v>
      </c>
      <c r="S92" s="12" t="s">
        <v>182</v>
      </c>
      <c r="T92" s="11" t="s">
        <v>183</v>
      </c>
      <c r="U92" s="11" t="s">
        <v>1348</v>
      </c>
      <c r="V92" s="11" t="s">
        <v>97</v>
      </c>
      <c r="W92" s="12" t="s">
        <v>1349</v>
      </c>
      <c r="X92" s="11" t="s">
        <v>1350</v>
      </c>
      <c r="Y92" s="12" t="s">
        <v>1351</v>
      </c>
      <c r="Z92" s="12" t="s">
        <v>101</v>
      </c>
      <c r="AA92" s="12" t="s">
        <v>102</v>
      </c>
      <c r="AB92" s="12" t="s">
        <v>1352</v>
      </c>
      <c r="AC92" s="12" t="s">
        <v>1353</v>
      </c>
      <c r="AD92" s="12" t="s">
        <v>1354</v>
      </c>
      <c r="AE92" s="12" t="s">
        <v>596</v>
      </c>
      <c r="AF92" s="12" t="s">
        <v>1355</v>
      </c>
      <c r="AG92" s="12" t="s">
        <v>1356</v>
      </c>
    </row>
    <row r="93" customFormat="false" ht="60" hidden="false" customHeight="true" outlineLevel="0" collapsed="false">
      <c r="A93" s="22" t="s">
        <v>1357</v>
      </c>
      <c r="B93" s="11" t="n">
        <v>4</v>
      </c>
      <c r="C93" s="12" t="s">
        <v>237</v>
      </c>
      <c r="D93" s="11" t="s">
        <v>110</v>
      </c>
      <c r="E93" s="12" t="s">
        <v>1358</v>
      </c>
      <c r="F93" s="12" t="s">
        <v>1359</v>
      </c>
      <c r="G93" s="13" t="n">
        <v>46314</v>
      </c>
      <c r="H93" s="12" t="s">
        <v>83</v>
      </c>
      <c r="I93" s="12" t="s">
        <v>1360</v>
      </c>
      <c r="J93" s="14" t="s">
        <v>85</v>
      </c>
      <c r="K93" s="11" t="s">
        <v>86</v>
      </c>
      <c r="L93" s="11" t="s">
        <v>87</v>
      </c>
      <c r="M93" s="12" t="s">
        <v>88</v>
      </c>
      <c r="N93" s="12" t="s">
        <v>89</v>
      </c>
      <c r="O93" s="15" t="s">
        <v>1361</v>
      </c>
      <c r="P93" s="11" t="s">
        <v>136</v>
      </c>
      <c r="Q93" s="12" t="s">
        <v>1362</v>
      </c>
      <c r="R93" s="12" t="s">
        <v>1363</v>
      </c>
      <c r="S93" s="12" t="s">
        <v>1364</v>
      </c>
      <c r="T93" s="11" t="s">
        <v>95</v>
      </c>
      <c r="U93" s="11" t="s">
        <v>246</v>
      </c>
      <c r="V93" s="11" t="s">
        <v>97</v>
      </c>
      <c r="W93" s="12" t="s">
        <v>1365</v>
      </c>
      <c r="X93" s="11" t="s">
        <v>141</v>
      </c>
      <c r="Y93" s="12" t="s">
        <v>1366</v>
      </c>
      <c r="Z93" s="12" t="s">
        <v>101</v>
      </c>
      <c r="AA93" s="12" t="s">
        <v>102</v>
      </c>
      <c r="AB93" s="12" t="s">
        <v>1367</v>
      </c>
      <c r="AC93" s="12" t="s">
        <v>1368</v>
      </c>
      <c r="AD93" s="12" t="s">
        <v>1369</v>
      </c>
      <c r="AE93" s="12" t="s">
        <v>127</v>
      </c>
      <c r="AF93" s="12" t="s">
        <v>1370</v>
      </c>
      <c r="AG93" s="12" t="s">
        <v>1371</v>
      </c>
    </row>
    <row r="94" customFormat="false" ht="60" hidden="false" customHeight="true" outlineLevel="0" collapsed="false">
      <c r="A94" s="22" t="s">
        <v>1357</v>
      </c>
      <c r="B94" s="16" t="n">
        <v>5</v>
      </c>
      <c r="C94" s="12" t="s">
        <v>109</v>
      </c>
      <c r="D94" s="11" t="s">
        <v>110</v>
      </c>
      <c r="E94" s="12" t="s">
        <v>1372</v>
      </c>
      <c r="F94" s="12" t="s">
        <v>1373</v>
      </c>
      <c r="G94" s="13" t="n">
        <v>46316</v>
      </c>
      <c r="H94" s="12" t="s">
        <v>83</v>
      </c>
      <c r="I94" s="12" t="s">
        <v>1374</v>
      </c>
      <c r="J94" s="14" t="s">
        <v>85</v>
      </c>
      <c r="K94" s="11" t="s">
        <v>86</v>
      </c>
      <c r="L94" s="11" t="s">
        <v>87</v>
      </c>
      <c r="M94" s="12" t="s">
        <v>284</v>
      </c>
      <c r="N94" s="12" t="s">
        <v>89</v>
      </c>
      <c r="O94" s="15" t="s">
        <v>1375</v>
      </c>
      <c r="P94" s="11" t="s">
        <v>91</v>
      </c>
      <c r="Q94" s="12" t="s">
        <v>1376</v>
      </c>
      <c r="R94" s="12" t="s">
        <v>304</v>
      </c>
      <c r="S94" s="12" t="s">
        <v>1377</v>
      </c>
      <c r="T94" s="11" t="s">
        <v>95</v>
      </c>
      <c r="U94" s="11" t="s">
        <v>892</v>
      </c>
      <c r="V94" s="11" t="s">
        <v>97</v>
      </c>
      <c r="W94" s="12" t="s">
        <v>1378</v>
      </c>
      <c r="X94" s="11" t="s">
        <v>1379</v>
      </c>
      <c r="Y94" s="12" t="s">
        <v>1380</v>
      </c>
      <c r="Z94" s="12" t="s">
        <v>101</v>
      </c>
      <c r="AA94" s="12" t="s">
        <v>102</v>
      </c>
      <c r="AB94" s="12" t="s">
        <v>1381</v>
      </c>
      <c r="AC94" s="12" t="s">
        <v>1382</v>
      </c>
      <c r="AD94" s="12" t="s">
        <v>1383</v>
      </c>
      <c r="AE94" s="12" t="s">
        <v>106</v>
      </c>
      <c r="AF94" s="12" t="s">
        <v>1384</v>
      </c>
      <c r="AG94" s="12" t="s">
        <v>1385</v>
      </c>
    </row>
    <row r="95" customFormat="false" ht="60" hidden="false" customHeight="true" outlineLevel="0" collapsed="false">
      <c r="A95" s="22" t="s">
        <v>1357</v>
      </c>
      <c r="B95" s="16" t="n">
        <v>5</v>
      </c>
      <c r="C95" s="12" t="s">
        <v>109</v>
      </c>
      <c r="D95" s="11" t="s">
        <v>110</v>
      </c>
      <c r="E95" s="12" t="s">
        <v>1372</v>
      </c>
      <c r="F95" s="12" t="s">
        <v>1386</v>
      </c>
      <c r="G95" s="13" t="n">
        <v>46317</v>
      </c>
      <c r="H95" s="12" t="s">
        <v>83</v>
      </c>
      <c r="I95" s="12" t="s">
        <v>1387</v>
      </c>
      <c r="J95" s="14" t="s">
        <v>85</v>
      </c>
      <c r="K95" s="11" t="s">
        <v>86</v>
      </c>
      <c r="L95" s="11" t="s">
        <v>87</v>
      </c>
      <c r="M95" s="12" t="s">
        <v>284</v>
      </c>
      <c r="N95" s="12" t="s">
        <v>89</v>
      </c>
      <c r="O95" s="15" t="s">
        <v>1388</v>
      </c>
      <c r="P95" s="11" t="s">
        <v>91</v>
      </c>
      <c r="Q95" s="12" t="s">
        <v>956</v>
      </c>
      <c r="R95" s="12" t="s">
        <v>304</v>
      </c>
      <c r="S95" s="12" t="s">
        <v>1389</v>
      </c>
      <c r="T95" s="11" t="s">
        <v>95</v>
      </c>
      <c r="U95" s="11" t="s">
        <v>892</v>
      </c>
      <c r="V95" s="11" t="s">
        <v>97</v>
      </c>
      <c r="W95" s="12" t="s">
        <v>1390</v>
      </c>
      <c r="X95" s="11" t="s">
        <v>1379</v>
      </c>
      <c r="Y95" s="12" t="s">
        <v>1391</v>
      </c>
      <c r="Z95" s="12" t="s">
        <v>101</v>
      </c>
      <c r="AA95" s="12" t="s">
        <v>102</v>
      </c>
      <c r="AB95" s="12" t="s">
        <v>1392</v>
      </c>
      <c r="AC95" s="12" t="s">
        <v>1393</v>
      </c>
      <c r="AD95" s="12" t="s">
        <v>1394</v>
      </c>
      <c r="AE95" s="12" t="s">
        <v>106</v>
      </c>
      <c r="AF95" s="12" t="s">
        <v>1395</v>
      </c>
      <c r="AG95" s="12" t="s">
        <v>1396</v>
      </c>
    </row>
    <row r="96" customFormat="false" ht="60" hidden="false" customHeight="true" outlineLevel="0" collapsed="false">
      <c r="A96" s="22" t="s">
        <v>1357</v>
      </c>
      <c r="B96" s="11" t="n">
        <v>4</v>
      </c>
      <c r="C96" s="12" t="s">
        <v>13</v>
      </c>
      <c r="D96" s="11" t="s">
        <v>80</v>
      </c>
      <c r="E96" s="12" t="s">
        <v>1397</v>
      </c>
      <c r="F96" s="12" t="s">
        <v>1398</v>
      </c>
      <c r="G96" s="13" t="n">
        <v>46318</v>
      </c>
      <c r="H96" s="12" t="s">
        <v>83</v>
      </c>
      <c r="I96" s="12" t="s">
        <v>1399</v>
      </c>
      <c r="J96" s="14" t="s">
        <v>85</v>
      </c>
      <c r="K96" s="11" t="s">
        <v>86</v>
      </c>
      <c r="L96" s="11" t="s">
        <v>87</v>
      </c>
      <c r="M96" s="12" t="s">
        <v>88</v>
      </c>
      <c r="N96" s="12" t="s">
        <v>89</v>
      </c>
      <c r="O96" s="15" t="s">
        <v>1400</v>
      </c>
      <c r="P96" s="11" t="s">
        <v>136</v>
      </c>
      <c r="Q96" s="12" t="s">
        <v>1401</v>
      </c>
      <c r="R96" s="12" t="s">
        <v>1402</v>
      </c>
      <c r="S96" s="12" t="s">
        <v>182</v>
      </c>
      <c r="T96" s="11" t="s">
        <v>95</v>
      </c>
      <c r="U96" s="11" t="s">
        <v>198</v>
      </c>
      <c r="V96" s="11" t="s">
        <v>97</v>
      </c>
      <c r="W96" s="12" t="s">
        <v>1403</v>
      </c>
      <c r="X96" s="11" t="s">
        <v>1404</v>
      </c>
      <c r="Y96" s="12" t="s">
        <v>1405</v>
      </c>
      <c r="Z96" s="12" t="s">
        <v>101</v>
      </c>
      <c r="AA96" s="12" t="s">
        <v>102</v>
      </c>
      <c r="AB96" s="12" t="s">
        <v>1406</v>
      </c>
      <c r="AC96" s="12" t="s">
        <v>1407</v>
      </c>
      <c r="AD96" s="12" t="s">
        <v>1408</v>
      </c>
      <c r="AE96" s="12" t="s">
        <v>106</v>
      </c>
      <c r="AF96" s="12" t="s">
        <v>1409</v>
      </c>
      <c r="AG96" s="12" t="s">
        <v>1410</v>
      </c>
    </row>
    <row r="97" customFormat="false" ht="60" hidden="false" customHeight="true" outlineLevel="0" collapsed="false">
      <c r="A97" s="22" t="s">
        <v>1357</v>
      </c>
      <c r="B97" s="16" t="n">
        <v>5</v>
      </c>
      <c r="C97" s="12" t="s">
        <v>237</v>
      </c>
      <c r="D97" s="11" t="s">
        <v>110</v>
      </c>
      <c r="E97" s="12" t="s">
        <v>887</v>
      </c>
      <c r="F97" s="12" t="s">
        <v>1411</v>
      </c>
      <c r="G97" s="13" t="n">
        <v>46324</v>
      </c>
      <c r="H97" s="12" t="s">
        <v>83</v>
      </c>
      <c r="I97" s="12" t="s">
        <v>1412</v>
      </c>
      <c r="J97" s="14" t="s">
        <v>85</v>
      </c>
      <c r="K97" s="11" t="s">
        <v>86</v>
      </c>
      <c r="L97" s="11" t="s">
        <v>87</v>
      </c>
      <c r="M97" s="12" t="s">
        <v>88</v>
      </c>
      <c r="N97" s="12" t="s">
        <v>89</v>
      </c>
      <c r="O97" s="15" t="s">
        <v>1413</v>
      </c>
      <c r="P97" s="11" t="s">
        <v>91</v>
      </c>
      <c r="Q97" s="12" t="s">
        <v>890</v>
      </c>
      <c r="R97" s="12" t="s">
        <v>891</v>
      </c>
      <c r="S97" s="12" t="s">
        <v>1414</v>
      </c>
      <c r="T97" s="11" t="s">
        <v>95</v>
      </c>
      <c r="U97" s="11" t="s">
        <v>892</v>
      </c>
      <c r="V97" s="11" t="s">
        <v>97</v>
      </c>
      <c r="W97" s="12" t="s">
        <v>1415</v>
      </c>
      <c r="X97" s="11" t="s">
        <v>894</v>
      </c>
      <c r="Y97" s="12" t="s">
        <v>1416</v>
      </c>
      <c r="Z97" s="12" t="s">
        <v>101</v>
      </c>
      <c r="AA97" s="12" t="s">
        <v>102</v>
      </c>
      <c r="AB97" s="12" t="s">
        <v>1417</v>
      </c>
      <c r="AC97" s="12" t="s">
        <v>1418</v>
      </c>
      <c r="AD97" s="12" t="s">
        <v>1419</v>
      </c>
      <c r="AE97" s="12" t="s">
        <v>127</v>
      </c>
      <c r="AF97" s="12" t="s">
        <v>1420</v>
      </c>
      <c r="AG97" s="12" t="s">
        <v>1421</v>
      </c>
    </row>
    <row r="98" customFormat="false" ht="60" hidden="false" customHeight="true" outlineLevel="0" collapsed="false">
      <c r="A98" s="22" t="s">
        <v>1357</v>
      </c>
      <c r="B98" s="16" t="n">
        <v>5</v>
      </c>
      <c r="C98" s="12" t="s">
        <v>13</v>
      </c>
      <c r="D98" s="11" t="s">
        <v>80</v>
      </c>
      <c r="E98" s="12" t="s">
        <v>1422</v>
      </c>
      <c r="F98" s="12" t="s">
        <v>1423</v>
      </c>
      <c r="G98" s="13" t="n">
        <v>46325</v>
      </c>
      <c r="H98" s="12" t="s">
        <v>83</v>
      </c>
      <c r="I98" s="12" t="s">
        <v>1424</v>
      </c>
      <c r="J98" s="14" t="s">
        <v>85</v>
      </c>
      <c r="K98" s="11" t="s">
        <v>86</v>
      </c>
      <c r="L98" s="11" t="s">
        <v>87</v>
      </c>
      <c r="M98" s="12" t="s">
        <v>88</v>
      </c>
      <c r="N98" s="12" t="s">
        <v>89</v>
      </c>
      <c r="O98" s="15" t="s">
        <v>1425</v>
      </c>
      <c r="P98" s="11" t="s">
        <v>91</v>
      </c>
      <c r="Q98" s="12" t="s">
        <v>1426</v>
      </c>
      <c r="R98" s="12" t="s">
        <v>1427</v>
      </c>
      <c r="S98" s="12" t="s">
        <v>182</v>
      </c>
      <c r="T98" s="11" t="s">
        <v>95</v>
      </c>
      <c r="U98" s="11" t="s">
        <v>96</v>
      </c>
      <c r="V98" s="11" t="s">
        <v>97</v>
      </c>
      <c r="W98" s="12" t="s">
        <v>1428</v>
      </c>
      <c r="X98" s="11" t="s">
        <v>248</v>
      </c>
      <c r="Y98" s="12" t="s">
        <v>1429</v>
      </c>
      <c r="Z98" s="12" t="s">
        <v>101</v>
      </c>
      <c r="AA98" s="12" t="s">
        <v>102</v>
      </c>
      <c r="AB98" s="12" t="s">
        <v>1430</v>
      </c>
      <c r="AC98" s="12" t="s">
        <v>1431</v>
      </c>
      <c r="AD98" s="12" t="s">
        <v>1432</v>
      </c>
      <c r="AE98" s="12" t="s">
        <v>106</v>
      </c>
      <c r="AF98" s="12" t="s">
        <v>1433</v>
      </c>
      <c r="AG98" s="12" t="s">
        <v>1434</v>
      </c>
    </row>
    <row r="99" customFormat="false" ht="60" hidden="false" customHeight="true" outlineLevel="0" collapsed="false">
      <c r="A99" s="22" t="s">
        <v>1357</v>
      </c>
      <c r="B99" s="16" t="n">
        <v>5</v>
      </c>
      <c r="C99" s="12" t="s">
        <v>13</v>
      </c>
      <c r="D99" s="11" t="s">
        <v>80</v>
      </c>
      <c r="E99" s="12" t="s">
        <v>1422</v>
      </c>
      <c r="F99" s="12" t="s">
        <v>1435</v>
      </c>
      <c r="G99" s="13" t="n">
        <v>46325</v>
      </c>
      <c r="H99" s="12" t="s">
        <v>83</v>
      </c>
      <c r="I99" s="12" t="s">
        <v>1424</v>
      </c>
      <c r="J99" s="14" t="s">
        <v>85</v>
      </c>
      <c r="K99" s="11" t="s">
        <v>86</v>
      </c>
      <c r="L99" s="11" t="s">
        <v>87</v>
      </c>
      <c r="M99" s="12" t="s">
        <v>88</v>
      </c>
      <c r="N99" s="12" t="s">
        <v>89</v>
      </c>
      <c r="O99" s="15" t="s">
        <v>1436</v>
      </c>
      <c r="P99" s="11" t="s">
        <v>91</v>
      </c>
      <c r="Q99" s="12" t="s">
        <v>1426</v>
      </c>
      <c r="R99" s="12" t="s">
        <v>1427</v>
      </c>
      <c r="S99" s="12" t="s">
        <v>94</v>
      </c>
      <c r="T99" s="11" t="s">
        <v>95</v>
      </c>
      <c r="U99" s="11" t="s">
        <v>96</v>
      </c>
      <c r="V99" s="11" t="s">
        <v>97</v>
      </c>
      <c r="W99" s="12" t="s">
        <v>1437</v>
      </c>
      <c r="X99" s="11" t="s">
        <v>248</v>
      </c>
      <c r="Y99" s="12" t="s">
        <v>1438</v>
      </c>
      <c r="Z99" s="12" t="s">
        <v>101</v>
      </c>
      <c r="AA99" s="12" t="s">
        <v>102</v>
      </c>
      <c r="AB99" s="12" t="s">
        <v>1439</v>
      </c>
      <c r="AC99" s="12" t="s">
        <v>1440</v>
      </c>
      <c r="AD99" s="12" t="s">
        <v>1441</v>
      </c>
      <c r="AE99" s="12" t="s">
        <v>106</v>
      </c>
      <c r="AF99" s="12" t="s">
        <v>1442</v>
      </c>
      <c r="AG99" s="12" t="s">
        <v>1443</v>
      </c>
    </row>
    <row r="100" customFormat="false" ht="60" hidden="false" customHeight="true" outlineLevel="0" collapsed="false">
      <c r="A100" s="22" t="s">
        <v>1357</v>
      </c>
      <c r="B100" s="16" t="n">
        <v>5</v>
      </c>
      <c r="C100" s="12" t="s">
        <v>297</v>
      </c>
      <c r="D100" s="11" t="s">
        <v>110</v>
      </c>
      <c r="E100" s="12" t="s">
        <v>1444</v>
      </c>
      <c r="F100" s="12" t="s">
        <v>1445</v>
      </c>
      <c r="G100" s="13" t="n">
        <v>46326</v>
      </c>
      <c r="H100" s="12" t="s">
        <v>133</v>
      </c>
      <c r="I100" s="12" t="s">
        <v>134</v>
      </c>
      <c r="J100" s="18" t="s">
        <v>513</v>
      </c>
      <c r="K100" s="11" t="s">
        <v>514</v>
      </c>
      <c r="L100" s="11" t="s">
        <v>87</v>
      </c>
      <c r="M100" s="12" t="s">
        <v>284</v>
      </c>
      <c r="N100" s="12" t="s">
        <v>89</v>
      </c>
      <c r="O100" s="15" t="s">
        <v>1446</v>
      </c>
      <c r="P100" s="11" t="s">
        <v>136</v>
      </c>
      <c r="Q100" s="12" t="s">
        <v>573</v>
      </c>
      <c r="R100" s="12" t="s">
        <v>1447</v>
      </c>
      <c r="S100" s="12" t="s">
        <v>1448</v>
      </c>
      <c r="T100" s="11" t="s">
        <v>183</v>
      </c>
      <c r="U100" s="11" t="s">
        <v>96</v>
      </c>
      <c r="V100" s="11" t="s">
        <v>97</v>
      </c>
      <c r="W100" s="12" t="s">
        <v>1449</v>
      </c>
      <c r="X100" s="11" t="s">
        <v>1450</v>
      </c>
      <c r="Y100" s="12" t="s">
        <v>1451</v>
      </c>
      <c r="Z100" s="12" t="s">
        <v>522</v>
      </c>
      <c r="AA100" s="12" t="s">
        <v>866</v>
      </c>
      <c r="AB100" s="12" t="s">
        <v>1452</v>
      </c>
      <c r="AC100" s="12" t="s">
        <v>1453</v>
      </c>
      <c r="AD100" s="12" t="s">
        <v>1454</v>
      </c>
      <c r="AE100" s="12" t="s">
        <v>106</v>
      </c>
      <c r="AF100" s="12" t="s">
        <v>1455</v>
      </c>
      <c r="AG100" s="12" t="s">
        <v>1456</v>
      </c>
    </row>
    <row r="101" customFormat="false" ht="60" hidden="false" customHeight="true" outlineLevel="0" collapsed="false">
      <c r="A101" s="22" t="s">
        <v>1357</v>
      </c>
      <c r="B101" s="11" t="n">
        <v>4</v>
      </c>
      <c r="C101" s="12" t="s">
        <v>109</v>
      </c>
      <c r="D101" s="11" t="s">
        <v>110</v>
      </c>
      <c r="E101" s="12" t="s">
        <v>1457</v>
      </c>
      <c r="F101" s="12" t="s">
        <v>1458</v>
      </c>
      <c r="G101" s="13" t="n">
        <v>46331</v>
      </c>
      <c r="H101" s="12" t="s">
        <v>83</v>
      </c>
      <c r="I101" s="12" t="s">
        <v>1459</v>
      </c>
      <c r="J101" s="14" t="s">
        <v>240</v>
      </c>
      <c r="K101" s="11" t="s">
        <v>86</v>
      </c>
      <c r="L101" s="11" t="s">
        <v>87</v>
      </c>
      <c r="M101" s="12" t="s">
        <v>88</v>
      </c>
      <c r="N101" s="12" t="s">
        <v>89</v>
      </c>
      <c r="O101" s="15" t="s">
        <v>1460</v>
      </c>
      <c r="P101" s="11" t="s">
        <v>91</v>
      </c>
      <c r="Q101" s="12" t="s">
        <v>1461</v>
      </c>
      <c r="R101" s="12" t="s">
        <v>304</v>
      </c>
      <c r="S101" s="12" t="s">
        <v>1462</v>
      </c>
      <c r="T101" s="11" t="s">
        <v>95</v>
      </c>
      <c r="U101" s="11" t="s">
        <v>213</v>
      </c>
      <c r="V101" s="11" t="s">
        <v>97</v>
      </c>
      <c r="W101" s="12" t="s">
        <v>1463</v>
      </c>
      <c r="X101" s="11" t="s">
        <v>1464</v>
      </c>
      <c r="Y101" s="12" t="s">
        <v>1465</v>
      </c>
      <c r="Z101" s="12" t="s">
        <v>101</v>
      </c>
      <c r="AA101" s="12" t="s">
        <v>102</v>
      </c>
      <c r="AB101" s="12" t="s">
        <v>1466</v>
      </c>
      <c r="AC101" s="12" t="s">
        <v>1467</v>
      </c>
      <c r="AD101" s="12" t="s">
        <v>1468</v>
      </c>
      <c r="AE101" s="12" t="s">
        <v>596</v>
      </c>
      <c r="AF101" s="12" t="s">
        <v>1469</v>
      </c>
      <c r="AG101" s="12" t="s">
        <v>1470</v>
      </c>
    </row>
    <row r="102" customFormat="false" ht="60" hidden="false" customHeight="true" outlineLevel="0" collapsed="false">
      <c r="A102" s="22" t="s">
        <v>1357</v>
      </c>
      <c r="B102" s="16" t="n">
        <v>5</v>
      </c>
      <c r="C102" s="12" t="s">
        <v>13</v>
      </c>
      <c r="D102" s="11" t="s">
        <v>80</v>
      </c>
      <c r="E102" s="12" t="s">
        <v>1471</v>
      </c>
      <c r="F102" s="12" t="s">
        <v>1472</v>
      </c>
      <c r="G102" s="13" t="n">
        <v>46334</v>
      </c>
      <c r="H102" s="12" t="s">
        <v>83</v>
      </c>
      <c r="I102" s="12" t="s">
        <v>1473</v>
      </c>
      <c r="J102" s="14" t="s">
        <v>85</v>
      </c>
      <c r="K102" s="11" t="s">
        <v>86</v>
      </c>
      <c r="L102" s="11" t="s">
        <v>87</v>
      </c>
      <c r="M102" s="12" t="s">
        <v>88</v>
      </c>
      <c r="N102" s="12" t="s">
        <v>1474</v>
      </c>
      <c r="O102" s="15" t="s">
        <v>1475</v>
      </c>
      <c r="P102" s="11" t="s">
        <v>91</v>
      </c>
      <c r="Q102" s="12" t="s">
        <v>602</v>
      </c>
      <c r="R102" s="12" t="s">
        <v>1476</v>
      </c>
      <c r="S102" s="12" t="s">
        <v>984</v>
      </c>
      <c r="T102" s="11" t="s">
        <v>95</v>
      </c>
      <c r="U102" s="11" t="s">
        <v>1477</v>
      </c>
      <c r="V102" s="11" t="s">
        <v>97</v>
      </c>
      <c r="W102" s="12" t="s">
        <v>1478</v>
      </c>
      <c r="X102" s="11" t="s">
        <v>141</v>
      </c>
      <c r="Y102" s="12" t="s">
        <v>1479</v>
      </c>
      <c r="Z102" s="12" t="s">
        <v>101</v>
      </c>
      <c r="AA102" s="12" t="s">
        <v>102</v>
      </c>
      <c r="AB102" s="12" t="s">
        <v>1480</v>
      </c>
      <c r="AC102" s="12" t="s">
        <v>1481</v>
      </c>
      <c r="AD102" s="12" t="s">
        <v>1482</v>
      </c>
      <c r="AE102" s="12" t="s">
        <v>127</v>
      </c>
      <c r="AF102" s="12" t="s">
        <v>1483</v>
      </c>
      <c r="AG102" s="12" t="s">
        <v>1484</v>
      </c>
    </row>
    <row r="103" customFormat="false" ht="60" hidden="false" customHeight="true" outlineLevel="0" collapsed="false">
      <c r="A103" s="22" t="s">
        <v>1357</v>
      </c>
      <c r="B103" s="16" t="n">
        <v>5</v>
      </c>
      <c r="C103" s="12" t="s">
        <v>13</v>
      </c>
      <c r="D103" s="11" t="s">
        <v>80</v>
      </c>
      <c r="E103" s="12" t="s">
        <v>1485</v>
      </c>
      <c r="F103" s="12" t="s">
        <v>1486</v>
      </c>
      <c r="G103" s="13" t="n">
        <v>46341</v>
      </c>
      <c r="H103" s="12" t="s">
        <v>83</v>
      </c>
      <c r="I103" s="12" t="s">
        <v>1487</v>
      </c>
      <c r="J103" s="14" t="s">
        <v>85</v>
      </c>
      <c r="K103" s="11" t="s">
        <v>86</v>
      </c>
      <c r="L103" s="11" t="s">
        <v>87</v>
      </c>
      <c r="M103" s="12" t="s">
        <v>301</v>
      </c>
      <c r="N103" s="12" t="s">
        <v>89</v>
      </c>
      <c r="O103" s="15" t="s">
        <v>1488</v>
      </c>
      <c r="P103" s="11" t="s">
        <v>91</v>
      </c>
      <c r="Q103" s="12" t="s">
        <v>629</v>
      </c>
      <c r="R103" s="12" t="s">
        <v>1061</v>
      </c>
      <c r="S103" s="12" t="s">
        <v>1489</v>
      </c>
      <c r="T103" s="11" t="s">
        <v>95</v>
      </c>
      <c r="U103" s="11" t="s">
        <v>168</v>
      </c>
      <c r="V103" s="11" t="s">
        <v>97</v>
      </c>
      <c r="W103" s="12" t="s">
        <v>1490</v>
      </c>
      <c r="X103" s="11" t="s">
        <v>86</v>
      </c>
      <c r="Y103" s="12" t="s">
        <v>1491</v>
      </c>
      <c r="Z103" s="12" t="s">
        <v>101</v>
      </c>
      <c r="AA103" s="12" t="s">
        <v>102</v>
      </c>
      <c r="AB103" s="12" t="s">
        <v>1492</v>
      </c>
      <c r="AC103" s="12" t="s">
        <v>1493</v>
      </c>
      <c r="AD103" s="12" t="s">
        <v>1494</v>
      </c>
      <c r="AE103" s="12" t="s">
        <v>106</v>
      </c>
      <c r="AF103" s="12" t="s">
        <v>1495</v>
      </c>
      <c r="AG103" s="12" t="s">
        <v>1496</v>
      </c>
    </row>
    <row r="104" customFormat="false" ht="60" hidden="false" customHeight="true" outlineLevel="0" collapsed="false">
      <c r="A104" s="22" t="s">
        <v>1357</v>
      </c>
      <c r="B104" s="11" t="n">
        <v>4</v>
      </c>
      <c r="C104" s="12" t="s">
        <v>13</v>
      </c>
      <c r="D104" s="11" t="s">
        <v>80</v>
      </c>
      <c r="E104" s="12" t="s">
        <v>1497</v>
      </c>
      <c r="F104" s="12" t="s">
        <v>1498</v>
      </c>
      <c r="G104" s="13" t="n">
        <v>46355</v>
      </c>
      <c r="H104" s="12" t="s">
        <v>83</v>
      </c>
      <c r="I104" s="12" t="s">
        <v>1499</v>
      </c>
      <c r="J104" s="14" t="s">
        <v>85</v>
      </c>
      <c r="K104" s="11" t="s">
        <v>86</v>
      </c>
      <c r="L104" s="11" t="s">
        <v>87</v>
      </c>
      <c r="M104" s="12" t="s">
        <v>88</v>
      </c>
      <c r="N104" s="12" t="s">
        <v>89</v>
      </c>
      <c r="O104" s="15" t="s">
        <v>1500</v>
      </c>
      <c r="P104" s="11" t="s">
        <v>91</v>
      </c>
      <c r="Q104" s="12" t="s">
        <v>1501</v>
      </c>
      <c r="R104" s="12" t="s">
        <v>1502</v>
      </c>
      <c r="S104" s="12" t="s">
        <v>182</v>
      </c>
      <c r="T104" s="11" t="s">
        <v>95</v>
      </c>
      <c r="U104" s="11" t="s">
        <v>878</v>
      </c>
      <c r="V104" s="11" t="s">
        <v>97</v>
      </c>
      <c r="W104" s="12" t="s">
        <v>1503</v>
      </c>
      <c r="X104" s="11" t="s">
        <v>1504</v>
      </c>
      <c r="Y104" s="12" t="s">
        <v>1505</v>
      </c>
      <c r="Z104" s="12" t="s">
        <v>101</v>
      </c>
      <c r="AA104" s="12" t="s">
        <v>102</v>
      </c>
      <c r="AB104" s="12" t="s">
        <v>1506</v>
      </c>
      <c r="AC104" s="12" t="s">
        <v>1507</v>
      </c>
      <c r="AD104" s="12" t="s">
        <v>1508</v>
      </c>
      <c r="AE104" s="12" t="s">
        <v>127</v>
      </c>
      <c r="AF104" s="12" t="s">
        <v>1509</v>
      </c>
      <c r="AG104" s="12" t="s">
        <v>1510</v>
      </c>
    </row>
    <row r="105" customFormat="false" ht="60" hidden="false" customHeight="true" outlineLevel="0" collapsed="false">
      <c r="A105" s="22" t="s">
        <v>1357</v>
      </c>
      <c r="B105" s="11" t="n">
        <v>4</v>
      </c>
      <c r="C105" s="12" t="s">
        <v>13</v>
      </c>
      <c r="D105" s="11" t="s">
        <v>80</v>
      </c>
      <c r="E105" s="12" t="s">
        <v>1511</v>
      </c>
      <c r="F105" s="12" t="s">
        <v>1512</v>
      </c>
      <c r="G105" s="13" t="n">
        <v>46356</v>
      </c>
      <c r="H105" s="12" t="s">
        <v>83</v>
      </c>
      <c r="I105" s="12" t="s">
        <v>1513</v>
      </c>
      <c r="J105" s="14" t="s">
        <v>85</v>
      </c>
      <c r="K105" s="11" t="s">
        <v>86</v>
      </c>
      <c r="L105" s="11" t="s">
        <v>87</v>
      </c>
      <c r="M105" s="12" t="s">
        <v>88</v>
      </c>
      <c r="N105" s="12" t="s">
        <v>89</v>
      </c>
      <c r="O105" s="15" t="s">
        <v>1514</v>
      </c>
      <c r="P105" s="11" t="s">
        <v>91</v>
      </c>
      <c r="Q105" s="12" t="s">
        <v>1515</v>
      </c>
      <c r="R105" s="12" t="s">
        <v>1516</v>
      </c>
      <c r="S105" s="12" t="s">
        <v>94</v>
      </c>
      <c r="T105" s="11" t="s">
        <v>183</v>
      </c>
      <c r="U105" s="11" t="s">
        <v>184</v>
      </c>
      <c r="V105" s="11" t="s">
        <v>97</v>
      </c>
      <c r="W105" s="12" t="s">
        <v>1517</v>
      </c>
      <c r="X105" s="11" t="s">
        <v>1518</v>
      </c>
      <c r="Y105" s="12" t="s">
        <v>1519</v>
      </c>
      <c r="Z105" s="12" t="s">
        <v>101</v>
      </c>
      <c r="AA105" s="12" t="s">
        <v>102</v>
      </c>
      <c r="AB105" s="12" t="s">
        <v>1520</v>
      </c>
      <c r="AC105" s="12" t="s">
        <v>1521</v>
      </c>
      <c r="AD105" s="12" t="s">
        <v>1522</v>
      </c>
      <c r="AE105" s="12" t="s">
        <v>596</v>
      </c>
      <c r="AF105" s="12" t="s">
        <v>1523</v>
      </c>
      <c r="AG105" s="12" t="s">
        <v>1524</v>
      </c>
    </row>
    <row r="106" customFormat="false" ht="60" hidden="false" customHeight="true" outlineLevel="0" collapsed="false">
      <c r="A106" s="22" t="s">
        <v>1357</v>
      </c>
      <c r="B106" s="11" t="n">
        <v>4</v>
      </c>
      <c r="C106" s="12" t="s">
        <v>237</v>
      </c>
      <c r="D106" s="11" t="s">
        <v>110</v>
      </c>
      <c r="E106" s="12" t="s">
        <v>1525</v>
      </c>
      <c r="F106" s="12" t="s">
        <v>1526</v>
      </c>
      <c r="G106" s="13" t="n">
        <v>46356</v>
      </c>
      <c r="H106" s="12" t="s">
        <v>83</v>
      </c>
      <c r="I106" s="12" t="s">
        <v>1513</v>
      </c>
      <c r="J106" s="14" t="s">
        <v>85</v>
      </c>
      <c r="K106" s="11" t="s">
        <v>86</v>
      </c>
      <c r="L106" s="11" t="s">
        <v>87</v>
      </c>
      <c r="M106" s="12" t="s">
        <v>284</v>
      </c>
      <c r="N106" s="12" t="s">
        <v>89</v>
      </c>
      <c r="O106" s="15" t="s">
        <v>1527</v>
      </c>
      <c r="P106" s="11" t="s">
        <v>136</v>
      </c>
      <c r="Q106" s="12" t="s">
        <v>1528</v>
      </c>
      <c r="R106" s="12" t="s">
        <v>1529</v>
      </c>
      <c r="S106" s="12" t="s">
        <v>1530</v>
      </c>
      <c r="T106" s="11" t="s">
        <v>183</v>
      </c>
      <c r="U106" s="11" t="s">
        <v>518</v>
      </c>
      <c r="V106" s="11" t="s">
        <v>97</v>
      </c>
      <c r="W106" s="12" t="s">
        <v>1531</v>
      </c>
      <c r="X106" s="11" t="s">
        <v>1532</v>
      </c>
      <c r="Y106" s="12" t="s">
        <v>1533</v>
      </c>
      <c r="Z106" s="12" t="s">
        <v>101</v>
      </c>
      <c r="AA106" s="12" t="s">
        <v>102</v>
      </c>
      <c r="AB106" s="12" t="s">
        <v>1534</v>
      </c>
      <c r="AC106" s="12" t="s">
        <v>1535</v>
      </c>
      <c r="AD106" s="12" t="s">
        <v>1536</v>
      </c>
      <c r="AE106" s="12" t="s">
        <v>106</v>
      </c>
      <c r="AF106" s="12" t="s">
        <v>1537</v>
      </c>
      <c r="AG106" s="12" t="s">
        <v>1538</v>
      </c>
    </row>
    <row r="107" customFormat="false" ht="60" hidden="false" customHeight="true" outlineLevel="0" collapsed="false">
      <c r="A107" s="22" t="s">
        <v>1357</v>
      </c>
      <c r="B107" s="11" t="n">
        <v>4</v>
      </c>
      <c r="C107" s="12" t="s">
        <v>237</v>
      </c>
      <c r="D107" s="11" t="s">
        <v>110</v>
      </c>
      <c r="E107" s="12" t="s">
        <v>774</v>
      </c>
      <c r="F107" s="12" t="s">
        <v>1539</v>
      </c>
      <c r="G107" s="13" t="n">
        <v>46357</v>
      </c>
      <c r="H107" s="12" t="s">
        <v>83</v>
      </c>
      <c r="I107" s="12" t="s">
        <v>1540</v>
      </c>
      <c r="J107" s="14" t="s">
        <v>85</v>
      </c>
      <c r="K107" s="11" t="s">
        <v>86</v>
      </c>
      <c r="L107" s="11" t="s">
        <v>87</v>
      </c>
      <c r="M107" s="12" t="s">
        <v>88</v>
      </c>
      <c r="N107" s="12" t="s">
        <v>89</v>
      </c>
      <c r="O107" s="15" t="s">
        <v>1541</v>
      </c>
      <c r="P107" s="11" t="s">
        <v>628</v>
      </c>
      <c r="Q107" s="12" t="s">
        <v>1542</v>
      </c>
      <c r="R107" s="12" t="s">
        <v>778</v>
      </c>
      <c r="S107" s="12" t="s">
        <v>1543</v>
      </c>
      <c r="T107" s="11" t="s">
        <v>183</v>
      </c>
      <c r="U107" s="11" t="s">
        <v>261</v>
      </c>
      <c r="V107" s="11" t="s">
        <v>97</v>
      </c>
      <c r="W107" s="12" t="s">
        <v>1544</v>
      </c>
      <c r="X107" s="11" t="s">
        <v>1545</v>
      </c>
      <c r="Y107" s="12" t="s">
        <v>1546</v>
      </c>
      <c r="Z107" s="12" t="s">
        <v>101</v>
      </c>
      <c r="AA107" s="12" t="s">
        <v>102</v>
      </c>
      <c r="AB107" s="12" t="s">
        <v>1547</v>
      </c>
      <c r="AC107" s="12" t="s">
        <v>1548</v>
      </c>
      <c r="AD107" s="12" t="s">
        <v>1549</v>
      </c>
      <c r="AE107" s="12" t="s">
        <v>106</v>
      </c>
      <c r="AF107" s="12" t="s">
        <v>1550</v>
      </c>
      <c r="AG107" s="12" t="s">
        <v>1551</v>
      </c>
    </row>
    <row r="108" customFormat="false" ht="60" hidden="false" customHeight="true" outlineLevel="0" collapsed="false">
      <c r="A108" s="22" t="s">
        <v>1357</v>
      </c>
      <c r="B108" s="11" t="n">
        <v>4</v>
      </c>
      <c r="C108" s="12" t="s">
        <v>13</v>
      </c>
      <c r="D108" s="11" t="s">
        <v>80</v>
      </c>
      <c r="E108" s="12" t="s">
        <v>844</v>
      </c>
      <c r="F108" s="12" t="s">
        <v>1552</v>
      </c>
      <c r="G108" s="13" t="n">
        <v>46357</v>
      </c>
      <c r="H108" s="12" t="s">
        <v>83</v>
      </c>
      <c r="I108" s="12" t="s">
        <v>1540</v>
      </c>
      <c r="J108" s="14" t="s">
        <v>85</v>
      </c>
      <c r="K108" s="11" t="s">
        <v>86</v>
      </c>
      <c r="L108" s="11" t="s">
        <v>87</v>
      </c>
      <c r="M108" s="12" t="s">
        <v>88</v>
      </c>
      <c r="N108" s="12" t="s">
        <v>89</v>
      </c>
      <c r="O108" s="15" t="s">
        <v>1553</v>
      </c>
      <c r="P108" s="11" t="s">
        <v>91</v>
      </c>
      <c r="Q108" s="12" t="s">
        <v>1554</v>
      </c>
      <c r="R108" s="12" t="s">
        <v>1555</v>
      </c>
      <c r="S108" s="12" t="s">
        <v>182</v>
      </c>
      <c r="T108" s="11" t="s">
        <v>95</v>
      </c>
      <c r="U108" s="11" t="s">
        <v>261</v>
      </c>
      <c r="V108" s="11" t="s">
        <v>121</v>
      </c>
      <c r="W108" s="12" t="s">
        <v>1556</v>
      </c>
      <c r="X108" s="11" t="s">
        <v>141</v>
      </c>
      <c r="Y108" s="12" t="s">
        <v>1557</v>
      </c>
      <c r="Z108" s="12" t="s">
        <v>101</v>
      </c>
      <c r="AA108" s="12" t="s">
        <v>102</v>
      </c>
      <c r="AB108" s="12" t="s">
        <v>1558</v>
      </c>
      <c r="AC108" s="12" t="s">
        <v>1559</v>
      </c>
      <c r="AD108" s="12" t="s">
        <v>1560</v>
      </c>
      <c r="AE108" s="12" t="s">
        <v>127</v>
      </c>
      <c r="AF108" s="12"/>
      <c r="AG108" s="12" t="s">
        <v>1561</v>
      </c>
    </row>
    <row r="109" customFormat="false" ht="60" hidden="false" customHeight="true" outlineLevel="0" collapsed="false">
      <c r="A109" s="22" t="s">
        <v>1357</v>
      </c>
      <c r="B109" s="16" t="n">
        <v>5</v>
      </c>
      <c r="C109" s="12" t="s">
        <v>13</v>
      </c>
      <c r="D109" s="11" t="s">
        <v>80</v>
      </c>
      <c r="E109" s="12" t="s">
        <v>1562</v>
      </c>
      <c r="F109" s="12" t="s">
        <v>1563</v>
      </c>
      <c r="G109" s="13" t="n">
        <v>46362</v>
      </c>
      <c r="H109" s="12" t="s">
        <v>83</v>
      </c>
      <c r="I109" s="12" t="s">
        <v>1564</v>
      </c>
      <c r="J109" s="14" t="s">
        <v>85</v>
      </c>
      <c r="K109" s="11" t="s">
        <v>86</v>
      </c>
      <c r="L109" s="11" t="s">
        <v>87</v>
      </c>
      <c r="M109" s="12" t="s">
        <v>88</v>
      </c>
      <c r="N109" s="12" t="s">
        <v>89</v>
      </c>
      <c r="O109" s="15" t="s">
        <v>1565</v>
      </c>
      <c r="P109" s="11" t="s">
        <v>91</v>
      </c>
      <c r="Q109" s="12" t="s">
        <v>1566</v>
      </c>
      <c r="R109" s="12" t="s">
        <v>490</v>
      </c>
      <c r="S109" s="12" t="s">
        <v>1567</v>
      </c>
      <c r="T109" s="11" t="s">
        <v>95</v>
      </c>
      <c r="U109" s="11" t="s">
        <v>382</v>
      </c>
      <c r="V109" s="11" t="s">
        <v>97</v>
      </c>
      <c r="W109" s="12" t="s">
        <v>1568</v>
      </c>
      <c r="X109" s="11" t="s">
        <v>248</v>
      </c>
      <c r="Y109" s="12" t="s">
        <v>1569</v>
      </c>
      <c r="Z109" s="12" t="s">
        <v>101</v>
      </c>
      <c r="AA109" s="12" t="s">
        <v>102</v>
      </c>
      <c r="AB109" s="12" t="s">
        <v>1570</v>
      </c>
      <c r="AC109" s="12" t="s">
        <v>1571</v>
      </c>
      <c r="AD109" s="12" t="s">
        <v>1572</v>
      </c>
      <c r="AE109" s="12" t="s">
        <v>106</v>
      </c>
      <c r="AF109" s="12" t="s">
        <v>1573</v>
      </c>
      <c r="AG109" s="12" t="s">
        <v>1574</v>
      </c>
    </row>
    <row r="110" customFormat="false" ht="60" hidden="false" customHeight="true" outlineLevel="0" collapsed="false">
      <c r="A110" s="22" t="s">
        <v>1357</v>
      </c>
      <c r="B110" s="16" t="n">
        <v>5</v>
      </c>
      <c r="C110" s="12" t="s">
        <v>297</v>
      </c>
      <c r="D110" s="11" t="s">
        <v>110</v>
      </c>
      <c r="E110" s="12" t="s">
        <v>1575</v>
      </c>
      <c r="F110" s="12" t="s">
        <v>1576</v>
      </c>
      <c r="G110" s="13" t="n">
        <v>46387</v>
      </c>
      <c r="H110" s="12" t="s">
        <v>83</v>
      </c>
      <c r="I110" s="12" t="s">
        <v>1577</v>
      </c>
      <c r="J110" s="14" t="s">
        <v>85</v>
      </c>
      <c r="K110" s="11" t="s">
        <v>86</v>
      </c>
      <c r="L110" s="11" t="s">
        <v>87</v>
      </c>
      <c r="M110" s="12" t="s">
        <v>284</v>
      </c>
      <c r="N110" s="12" t="s">
        <v>89</v>
      </c>
      <c r="O110" s="15" t="s">
        <v>1578</v>
      </c>
      <c r="P110" s="11" t="s">
        <v>136</v>
      </c>
      <c r="Q110" s="12" t="s">
        <v>1579</v>
      </c>
      <c r="R110" s="12" t="s">
        <v>1580</v>
      </c>
      <c r="S110" s="12" t="s">
        <v>1581</v>
      </c>
      <c r="T110" s="11" t="s">
        <v>95</v>
      </c>
      <c r="U110" s="11" t="s">
        <v>518</v>
      </c>
      <c r="V110" s="11" t="s">
        <v>97</v>
      </c>
      <c r="W110" s="12" t="s">
        <v>1582</v>
      </c>
      <c r="X110" s="11" t="s">
        <v>1583</v>
      </c>
      <c r="Y110" s="12" t="s">
        <v>1584</v>
      </c>
      <c r="Z110" s="12" t="s">
        <v>101</v>
      </c>
      <c r="AA110" s="12" t="s">
        <v>310</v>
      </c>
      <c r="AB110" s="12" t="s">
        <v>1585</v>
      </c>
      <c r="AC110" s="12" t="s">
        <v>1586</v>
      </c>
      <c r="AD110" s="12" t="s">
        <v>1587</v>
      </c>
      <c r="AE110" s="12" t="s">
        <v>106</v>
      </c>
      <c r="AF110" s="12" t="s">
        <v>1588</v>
      </c>
      <c r="AG110" s="12" t="s">
        <v>1589</v>
      </c>
    </row>
    <row r="111" customFormat="false" ht="60" hidden="false" customHeight="true" outlineLevel="0" collapsed="false">
      <c r="A111" s="22" t="s">
        <v>1357</v>
      </c>
      <c r="B111" s="11" t="n">
        <v>4</v>
      </c>
      <c r="C111" s="12" t="s">
        <v>13</v>
      </c>
      <c r="D111" s="11" t="s">
        <v>80</v>
      </c>
      <c r="E111" s="12" t="s">
        <v>1163</v>
      </c>
      <c r="F111" s="12" t="s">
        <v>1590</v>
      </c>
      <c r="G111" s="13" t="n">
        <v>46387</v>
      </c>
      <c r="H111" s="12" t="s">
        <v>83</v>
      </c>
      <c r="I111" s="12" t="s">
        <v>1577</v>
      </c>
      <c r="J111" s="14" t="s">
        <v>85</v>
      </c>
      <c r="K111" s="11" t="s">
        <v>86</v>
      </c>
      <c r="L111" s="11" t="s">
        <v>87</v>
      </c>
      <c r="M111" s="12" t="s">
        <v>88</v>
      </c>
      <c r="N111" s="12" t="s">
        <v>89</v>
      </c>
      <c r="O111" s="15" t="s">
        <v>1591</v>
      </c>
      <c r="P111" s="11" t="s">
        <v>91</v>
      </c>
      <c r="Q111" s="12" t="s">
        <v>956</v>
      </c>
      <c r="R111" s="12" t="s">
        <v>741</v>
      </c>
      <c r="S111" s="12" t="s">
        <v>94</v>
      </c>
      <c r="T111" s="11" t="s">
        <v>95</v>
      </c>
      <c r="U111" s="11" t="s">
        <v>743</v>
      </c>
      <c r="V111" s="11" t="s">
        <v>97</v>
      </c>
      <c r="W111" s="12" t="s">
        <v>1592</v>
      </c>
      <c r="X111" s="11" t="s">
        <v>1593</v>
      </c>
      <c r="Y111" s="12" t="s">
        <v>1594</v>
      </c>
      <c r="Z111" s="12" t="s">
        <v>101</v>
      </c>
      <c r="AA111" s="12" t="s">
        <v>102</v>
      </c>
      <c r="AB111" s="12" t="s">
        <v>1595</v>
      </c>
      <c r="AC111" s="12" t="s">
        <v>1596</v>
      </c>
      <c r="AD111" s="12" t="s">
        <v>1597</v>
      </c>
      <c r="AE111" s="12" t="s">
        <v>106</v>
      </c>
      <c r="AF111" s="12" t="s">
        <v>1598</v>
      </c>
      <c r="AG111" s="12" t="s">
        <v>1599</v>
      </c>
    </row>
    <row r="112" customFormat="false" ht="60" hidden="false" customHeight="true" outlineLevel="0" collapsed="false">
      <c r="A112" s="22" t="s">
        <v>1357</v>
      </c>
      <c r="B112" s="11" t="n">
        <v>4</v>
      </c>
      <c r="C112" s="12" t="s">
        <v>109</v>
      </c>
      <c r="D112" s="11" t="s">
        <v>110</v>
      </c>
      <c r="E112" s="12" t="s">
        <v>131</v>
      </c>
      <c r="F112" s="12" t="s">
        <v>1600</v>
      </c>
      <c r="G112" s="13" t="n">
        <v>46395</v>
      </c>
      <c r="H112" s="12" t="s">
        <v>83</v>
      </c>
      <c r="I112" s="12" t="s">
        <v>1601</v>
      </c>
      <c r="J112" s="14" t="s">
        <v>85</v>
      </c>
      <c r="K112" s="11" t="s">
        <v>86</v>
      </c>
      <c r="L112" s="11" t="s">
        <v>87</v>
      </c>
      <c r="M112" s="12" t="s">
        <v>88</v>
      </c>
      <c r="N112" s="12" t="s">
        <v>89</v>
      </c>
      <c r="O112" s="15" t="s">
        <v>1602</v>
      </c>
      <c r="P112" s="11" t="s">
        <v>91</v>
      </c>
      <c r="Q112" s="12" t="s">
        <v>1603</v>
      </c>
      <c r="R112" s="12" t="s">
        <v>138</v>
      </c>
      <c r="S112" s="12" t="s">
        <v>730</v>
      </c>
      <c r="T112" s="11" t="s">
        <v>95</v>
      </c>
      <c r="U112" s="11" t="s">
        <v>139</v>
      </c>
      <c r="V112" s="11" t="s">
        <v>97</v>
      </c>
      <c r="W112" s="12" t="s">
        <v>1604</v>
      </c>
      <c r="X112" s="11" t="s">
        <v>141</v>
      </c>
      <c r="Y112" s="12" t="s">
        <v>1605</v>
      </c>
      <c r="Z112" s="12" t="s">
        <v>101</v>
      </c>
      <c r="AA112" s="12" t="s">
        <v>102</v>
      </c>
      <c r="AB112" s="12" t="s">
        <v>1606</v>
      </c>
      <c r="AC112" s="12" t="s">
        <v>1607</v>
      </c>
      <c r="AD112" s="12" t="s">
        <v>1608</v>
      </c>
      <c r="AE112" s="12" t="s">
        <v>106</v>
      </c>
      <c r="AF112" s="12" t="s">
        <v>1609</v>
      </c>
      <c r="AG112" s="12" t="s">
        <v>1610</v>
      </c>
    </row>
  </sheetData>
  <autoFilter ref="A1:AG112"/>
  <hyperlinks>
    <hyperlink ref="O2" r:id="rId1" display="https://www.gsb.stanford.edu/jobs/faculty-positions/operations-information-technology"/>
    <hyperlink ref="O3" r:id="rId2" display="https://jobs.chronicle.com/job/38034183/assistant-teaching-professor-teaching-track-information-systems-and-information-management/?TrackID=10"/>
    <hyperlink ref="O4" r:id="rId3" display="https://careers.purdue.edu/job/Assistant-Professor-of-Management-in-Management-Information-Systems/38552-en_US"/>
    <hyperlink ref="O5" r:id="rId4" display="https://careers.purdue.edu/job/AssociateFull-Professor%2C-MIS/44026-en_US"/>
    <hyperlink ref="O6" r:id="rId5" display="https://www.jobs.virginia.gov/jobs/data-analytics-and-decision-science-faculty-open-rank-tt-t-charlottesville-virginia-united-states"/>
    <hyperlink ref="O7" r:id="rId6" display="https://miamioh.wd5.myworkdayjobs.com/en-US/miamioh-faculty/job/Farmer-School-of-Business/Assistant-Professor_JR104289"/>
    <hyperlink ref="O8" r:id="rId7" display="https://apply.interfolio.com/189675"/>
    <hyperlink ref="O9" r:id="rId8" display="https://binghamton.interviewexchange.com/jobofferdetails.jsp?JOBID=205076"/>
    <hyperlink ref="O10" r:id="rId9" display="https://www.udiversity.com/posting/7276573"/>
    <hyperlink ref="O11" r:id="rId10" display="https://jobs.chronicle.com/job/38039108/lecturer-or-professor-of-practice/?TrackID=10"/>
    <hyperlink ref="O12" r:id="rId11" display="https://www.higheredjobs.com/faculty/details.cfm?JobCode=179538136"/>
    <hyperlink ref="O13" r:id="rId12" display="https://apply.interfolio.com/191584"/>
    <hyperlink ref="O14" r:id="rId13" display="https://apol-recruit.ucsd.edu/JPF04466"/>
    <hyperlink ref="O15" r:id="rId14" display="https://www.tealhq.com/job/adjunct-faculty-department-of-computer-information-systems-open-pool_cf1394da-9120-4e71-8fc7-5e098746cc26"/>
    <hyperlink ref="O16" r:id="rId15" display="https://jobs.utdallas.edu/postings/32958"/>
    <hyperlink ref="O17" r:id="rId16" display="https://recruit.ucsc.edu/JPF02072"/>
    <hyperlink ref="O18" r:id="rId17" display="https://recruit.ap.uci.edu/JPF10123"/>
    <hyperlink ref="O19" r:id="rId18" display="https://jobs.hr.txstate.edu/postings/57741"/>
    <hyperlink ref="O20" r:id="rId19" display="https://www.higheredjobs.com/faculty/details.cfm?JobCode=178958802&amp;Title=Part+Time+Faculty+School+of+Accountancy+and+MIS"/>
    <hyperlink ref="O21" r:id="rId20" display="https://recruit.ucdavis.edu/JPF07773"/>
    <hyperlink ref="O22" r:id="rId21" display="https://facultycareers.gsu.edu/postings/7383"/>
    <hyperlink ref="O23" r:id="rId22" display="https://careers.insidehighered.com/job/3548384/ccb-tenure-track-assistant-professor-in-management-information-systems-mis-530515/"/>
    <hyperlink ref="O24" r:id="rId23" display="https://recruit.ucsc.edu/JPF02091"/>
    <hyperlink ref="O25" r:id="rId24" display="https://american.wd1.myworkdayjobs.com/en-US/AU/job/KSB-Adjunct-Faculty---Information-Technology---Analytics--Open-Countinuous-_R1201"/>
    <hyperlink ref="O26" r:id="rId25" display="https://jobs.utdallas.edu/postings/32668"/>
    <hyperlink ref="O27" r:id="rId26" display="https://jobs.chronicle.com/job/38039773/2026-27-professional-track-faculty-irom/"/>
    <hyperlink ref="O28" r:id="rId27" display="https://www.sorce.jobs/jobs/information-systems-open-rank-tenure-track-or-college-faculty-acu-j1_dNadE8uIFSnXonoZpzLAelS3rzKqz2sjwpBl_DwxOmev1iGrFQ"/>
    <hyperlink ref="O29" r:id="rId28" display="https://jobs.phdproject.org/jobs/584887018-professorial-lecturer-at-american-university-kogod-school-of-business"/>
    <hyperlink ref="O30" r:id="rId29" display="https://jobs.chronicle.com/job/38034229/lecturer/"/>
    <hyperlink ref="O31" r:id="rId30" display="https://jobs.chronicle.com/job/38027818/lowe-s-tech-distinguished-professor-and-program-director-in-cybersecurity/"/>
    <hyperlink ref="O32" r:id="rId31" display="https://jobs.chronicle.com/job/38043081/assistant-professor-of-information-systems-and-operations-management/"/>
    <hyperlink ref="O33" r:id="rId32" display="https://binghamton.interviewexchange.com/jobofferdetails.jsp;jsessionid=D34EC62516DE87F3128274B8DE558D6E?JOBID=198532"/>
    <hyperlink ref="O34" r:id="rId33" display="https://csucareers.calstate.edu/en-us/job/559035/information-systems-and-decision-sciences-parttime-lecturer-pool"/>
    <hyperlink ref="O35" r:id="rId34" display="https://www.csulb.edu/college-of-business/office-of-the-dean/job-opportunities"/>
    <hyperlink ref="O36" r:id="rId35" display="https://csucareers.calstate.edu/en-us/job/555366/202627-ay-lecturer-pool-information-systems"/>
    <hyperlink ref="O37" r:id="rId36" display="https://jobs.chronicle.com/job/38045010/assistant-professor-of-management-science-tenure-track-fall-2027/"/>
    <hyperlink ref="O38" r:id="rId37" display="https://hrjobs.csuohio.edu/postings/19956"/>
    <hyperlink ref="O39" r:id="rId38" display="https://www.higheredjobs.com/faculty/details.cfm?JobCode=179383349"/>
    <hyperlink ref="O40" r:id="rId39" display="https://home.hamptonu.edu/hr/2026/05/29/management-information-systems-mis-professor-department-of-business-administration-and-accounting/"/>
    <hyperlink ref="O41" r:id="rId40" display="https://jobs.chronicle.com/job/38045022/assistant-associate-professor-business-information-systems-and-analytics/"/>
    <hyperlink ref="O42" r:id="rId41" display="https://www.ndsu.edu/business/our-team/join-our-team/adjunct-instructors"/>
    <hyperlink ref="O43" r:id="rId42" display="https://www.tealhq.com/job/instructor-pool-accounting-finance-and-information-systems_7ea1a8d9ac5dd3d434dd54e18a9ddb6d6655f"/>
    <hyperlink ref="O44" r:id="rId43" display="https://jobs.hrc.pdx.edu/postings/49706"/>
    <hyperlink ref="O45" r:id="rId44" display="https://careers.purdue.edu/job/Clinical-Assistant-Professor,-MIS/41739-en_US/"/>
    <hyperlink ref="O46" r:id="rId45" display="https://jobs.rutgers.edu/postings/282025"/>
    <hyperlink ref="O47" r:id="rId46" display="https://www3.fox.temple.edu/discover/2026/08/18/7-new-researchers-join-fox-school-faculty/"/>
    <hyperlink ref="O48" r:id="rId47" display="https://www.fox.temple.edu/faculty-research/open-faculty-positions"/>
    <hyperlink ref="O49" r:id="rId48" display="https://jobs.tcu.edu/jobs/information-systems-faculty-adjunct-pool-tcu-main-campus-texas-united-states-4e0b7d2f-ca20-46aa-a3d6-d4430778a4fe"/>
    <hyperlink ref="O50" r:id="rId49" display="https://jobs.tsu.edu/postings/11719"/>
    <hyperlink ref="O51" r:id="rId50" display="https://jobs.world.edu/jobs/lecturer-senior-lecturer-2/"/>
    <hyperlink ref="O52" r:id="rId51" display="https://tulane-ibqejb.fa.ocs.oraclecloud.com/hcmUI/CandidateExperience/en/sites/CX_1001/job/1738"/>
    <hyperlink ref="O53" r:id="rId52" display="https://recruit.ap.uci.edu/JPF09384"/>
    <hyperlink ref="O54" r:id="rId53" display="https://careers.uh.edu/jobs/adjunct-faculty-decision-information-sciences-houston-texas-united-states"/>
    <hyperlink ref="O55" r:id="rId54" display="https://www.indeed.com/q-bioinformatics-lecturers-l-louisville,-ky-jobs.html"/>
    <hyperlink ref="O56" r:id="rId55" display="https://careers.insidehighered.com/job/3473108/associate-lecturer-college-of-management/?TrackID=11"/>
    <hyperlink ref="O57" r:id="rId56" display="https://jobs.chronicle.com/job/38045946/assistant-professor-management-information-systems/"/>
    <hyperlink ref="O58" r:id="rId57" display="https://careers.untsystem.edu/jobs/adjunct-instructor-information-technology-decision-sciences-denton-texas-united-states-b68aaa16-7188-4215-bc57-b4d00f89954a"/>
    <hyperlink ref="O59" r:id="rId58" display="https://www.highered360.com/jobs/JobDetail.cfm?JobID=179212463"/>
    <hyperlink ref="O60" r:id="rId59" display="https://usccareers.usc.edu/job/los-angeles/adjunct-professor-of-data-sciences-and-operations/1209/93285006512"/>
    <hyperlink ref="O61" r:id="rId60" display="https://www.uta.edu/academics/schools-colleges/business/departments/information-systems-and-operations-management"/>
    <hyperlink ref="O62" r:id="rId61" display="https://www.disabledperson.com/jobs/75493209-tenure-track-faculty-management-information-systems"/>
    <hyperlink ref="O63" r:id="rId62" display="https://wpi.wd5.myworkdayjobs.com/en-US/WPI_External_Career_Site/job/Assistant-Professor-of-Information-Systems-Block-Chain_R0003454"/>
    <hyperlink ref="O64" r:id="rId63" display="https://careers.hprod.onehcm.usg.edu/psc/careers/CAREERS/HRMS/c/HRS_HRAM_FL.HRS_CG_SEARCH_FL.GBL?Page=HRS_APP_JBPST_FL&amp;Action=U&amp;FOCUS=Applicant&amp;SiteId=12000&amp;JobOpeningId=290816&amp;PostingSeq=1"/>
    <hyperlink ref="O65" r:id="rId64" display="https://www.bu.edu/questrom/faculty/adjunct-recruitment/"/>
    <hyperlink ref="O66" r:id="rId65" display="https://www.higheredjobs.com/faculty/details.cfm?JobCode=179257832"/>
    <hyperlink ref="O67" r:id="rId66" location="faculty" display="https://business.gwu.edu/about/departments/decision-sciences#faculty"/>
    <hyperlink ref="O68" r:id="rId67" display="https://facultycareers.gsu.edu/postings/5029"/>
    <hyperlink ref="O69" r:id="rId68" display="https://www.higheredjobs.com/faculty/details.cfm?JobCode=179415581"/>
    <hyperlink ref="O70" r:id="rId69" display="https://howard.wd1.myworkdayjobs.com/en-US/HU/job/Assistant-Professor_JR107320-1"/>
    <hyperlink ref="O71" r:id="rId70" display="https://apply.interfolio.com/187586"/>
    <hyperlink ref="O72" r:id="rId71" display="https://jobs.chronicle.com/job/38009688/ay27-adjunct-faculty-all-business-school-disciplines/"/>
    <hyperlink ref="O73" r:id="rId72" display="https://careers.insidehighered.com/job/3560822/assistant-clinical-track-faculty-business-analytics/"/>
    <hyperlink ref="O74" r:id="rId73" display="https://jobs.okstate.edu/jobs/instructor-of-professional-practice-22154-stillwater-oklahoma-united-states-payne-county?applicant_id=A71A9E4B-434B-4419-87FA-F03DD916D799&amp;ad_id=38769D6A-0B7C-44FE-85D3-CDC9826CD8E5"/>
    <hyperlink ref="O75" r:id="rId74" display="https://oregonstate.wd501.myworkdayjobs.com/en-US/OSU_Careers_Site/job/Instructor-Pool---2026-2027--Marketing--Analytics-and-Design_JR0000390"/>
    <hyperlink ref="O76" r:id="rId75" display="https://jobs.rowan.edu/"/>
    <hyperlink ref="O77" r:id="rId76" display="https://jobs.rutgers.edu/postings/278711"/>
    <hyperlink ref="O78" r:id="rId77" display="https://jobs.rutgers.edu/postings/279358"/>
    <hyperlink ref="O79" r:id="rId78" display="https://jobs.rutgers.edu/postings/161959"/>
    <hyperlink ref="O80" r:id="rId79" display="https://jobs.rutgers.edu/postings/271801"/>
    <hyperlink ref="O81" r:id="rId80" display="https://inside.southernct.edu/human-resources/jobs/part-time-instructors-school-of-business"/>
    <hyperlink ref="O82" r:id="rId81" display="https://www.ziprecruiter.com/Jobs/Business-Analytics/-in-Colorado-Springs,CO"/>
    <hyperlink ref="O83" r:id="rId82" display="https://careers.uh.edu/jobs/professor-of-practice-decision-information-sciences-houston-texas-united-states-fce2c1fc-eb84-4ad7-af50-c6f6d93d7eb6"/>
    <hyperlink ref="O84" r:id="rId83" display="https://ukjobs.uky.edu/postings/650748"/>
    <hyperlink ref="O85" r:id="rId84" display="https://jobs.chronicle.com/job/37966075/adjunct-lecturer/"/>
    <hyperlink ref="O86" r:id="rId85" display="https://careers.miami.edu/us/en/job/R100081474/MHBS-Assistant-Associate-Full-Professor"/>
    <hyperlink ref="O87" r:id="rId86" display="https://jobs.chronicle.com/job/37973536/assistant-teaching-professor-ai-and-business/"/>
    <hyperlink ref="O88" r:id="rId87" display="https://jobs.uncw.edu/postings/39244"/>
    <hyperlink ref="O89" r:id="rId88" display="https://uscjobs.sc.edu/postings/214247"/>
    <hyperlink ref="O90" r:id="rId89" display="https://uscjobs.sc.edu/postings/search"/>
    <hyperlink ref="O91" r:id="rId90" display="https://jobs.chronicle.com/job/38022740/tenure-track-faculty-accounting-and-information-systems/"/>
    <hyperlink ref="O92" r:id="rId91" display="https://www.astate.edu/college/business/faculty-staff/management-marketing/"/>
    <hyperlink ref="O93" r:id="rId92" display="https://jobs.chronicle.com/job/38027766/instructor-of-applied-statistics-and-business-analytics/?TrackID=10"/>
    <hyperlink ref="O94" r:id="rId93" display="https://careers.nmsu.edu/jobs/college-assistant-professor-remote-locations-new-mexico-united-states-e353bdda-98b4-480b-a801-57ceb8b5a932"/>
    <hyperlink ref="O95" r:id="rId94" display="https://careers.nmsu.edu/jobs/college-assistant-professor-las-cruces-new-mexico-united-states-a2750562-96c8-46b8-a2a4-479016a7e235"/>
    <hyperlink ref="O96" r:id="rId95" display="https://apply.interfolio.com/192153"/>
    <hyperlink ref="O97" r:id="rId96" display="https://careers.insidehighered.com/job/3557474/lecturer-ii-management-information-systems/"/>
    <hyperlink ref="O98" r:id="rId97" display="https://careers.sdsu.edu/en-us/job/559998/department-of-management-information-systems-assistant-professor-pool-information-systems-20272028"/>
    <hyperlink ref="O99" r:id="rId98" display="https://careers.sdsu.edu/en-us/job/560000/department-of-management-information-systems-assistant-professor-pool-data-science-20272028"/>
    <hyperlink ref="O100" r:id="rId99" display="https://csucareers.calstate.edu/mob/cw/en-us/job/556788/2627-ay-temporary-faculty-pool-lecturer-lecturer-in-business-law"/>
    <hyperlink ref="O101" r:id="rId100" display="https://www.stonybrook.edu/commcms/faculty-jobs/positions/index.php"/>
    <hyperlink ref="O102" r:id="rId101" display="https://jobs.chronicle.com/job/38049560/assistant-associate-full-professor-open-rank-department-of-information-systems/?TrackID=10"/>
    <hyperlink ref="O103" r:id="rId102" display="https://www.jobs.virginia.gov/jobs/information-systems-faculty-vcu-main-campus-virginia-united-states"/>
    <hyperlink ref="O104" r:id="rId103" display="https://jobs.chronicle.com/job/38020837/harvard-business-school-faculty-openings/"/>
    <hyperlink ref="O105" r:id="rId104" display="https://www.bgsu.edu/business/faculty-and-staff/job-opportunities.html"/>
    <hyperlink ref="O106" r:id="rId105" display="https://spartantalent.uncg.edu/postings/33841"/>
    <hyperlink ref="O107" r:id="rId106" display="https://jobs.tcu.edu/jobs/instructor-instructor-ii-or-senior-instructor-of-analytics-statistics-tcu-main-campus-texas-united-states"/>
    <hyperlink ref="O108" r:id="rId107" display="https://jobs.chronicle.com/job/38043006/assistant-professor-computer-information-systems-496945-/"/>
    <hyperlink ref="O109" r:id="rId108" display="https://academiccareers.com/job/180278/assistant-or-associate-professor-ids-enterprise-ai-systems/"/>
    <hyperlink ref="O110" r:id="rId109" display="https://jobs.ncsu.edu/postings/223346"/>
    <hyperlink ref="O111" r:id="rId110" display="https://jobs.rutgers.edu/postings/280198"/>
    <hyperlink ref="O112" r:id="rId111" display="https://careers.purdue.edu/job/Clinical-Assistant-Professor,-Quantitative-Methods/44130-en_US"/>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1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AG1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6" ySplit="1" topLeftCell="G2" activePane="bottomRight" state="frozen"/>
      <selection pane="topLeft" activeCell="A1" activeCellId="0" sqref="A1"/>
      <selection pane="topRight" activeCell="G1" activeCellId="0" sqref="G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6"/>
    <col collapsed="false" customWidth="true" hidden="false" outlineLevel="0" max="3" min="3" style="0" width="22"/>
    <col collapsed="false" customWidth="true" hidden="false" outlineLevel="0" max="4" min="4" style="0" width="11"/>
    <col collapsed="false" customWidth="true" hidden="false" outlineLevel="0" max="5" min="5" style="0" width="22"/>
    <col collapsed="false" customWidth="true" hidden="false" outlineLevel="0" max="6" min="6" style="0" width="36"/>
    <col collapsed="false" customWidth="true" hidden="false" outlineLevel="0" max="7" min="7" style="0" width="11"/>
    <col collapsed="false" customWidth="true" hidden="false" outlineLevel="0" max="9" min="8" style="0" width="16"/>
    <col collapsed="false" customWidth="true" hidden="false" outlineLevel="0" max="10" min="10" style="0" width="30"/>
    <col collapsed="false" customWidth="true" hidden="false" outlineLevel="0" max="11" min="11" style="0" width="14"/>
    <col collapsed="false" customWidth="true" hidden="false" outlineLevel="0" max="12" min="12" style="0" width="13"/>
    <col collapsed="false" customWidth="true" hidden="false" outlineLevel="0" max="13" min="13" style="0" width="26"/>
    <col collapsed="false" customWidth="true" hidden="false" outlineLevel="0" max="14" min="14" style="0" width="30"/>
    <col collapsed="false" customWidth="true" hidden="false" outlineLevel="0" max="15" min="15" style="0" width="35"/>
    <col collapsed="false" customWidth="true" hidden="false" outlineLevel="0" max="16" min="16" style="0" width="11"/>
    <col collapsed="false" customWidth="true" hidden="false" outlineLevel="0" max="18" min="17" style="0" width="22"/>
    <col collapsed="false" customWidth="true" hidden="false" outlineLevel="0" max="19" min="19" style="0" width="16"/>
    <col collapsed="false" customWidth="true" hidden="false" outlineLevel="0" max="21" min="20" style="0" width="6"/>
    <col collapsed="false" customWidth="true" hidden="false" outlineLevel="0" max="22" min="22" style="0" width="11"/>
    <col collapsed="false" customWidth="true" hidden="false" outlineLevel="0" max="23" min="23" style="0" width="45"/>
    <col collapsed="false" customWidth="true" hidden="false" outlineLevel="0" max="24" min="24" style="0" width="14"/>
    <col collapsed="false" customWidth="true" hidden="false" outlineLevel="0" max="25" min="25" style="0" width="40"/>
    <col collapsed="false" customWidth="true" hidden="false" outlineLevel="0" max="26" min="26" style="0" width="22"/>
    <col collapsed="false" customWidth="true" hidden="false" outlineLevel="0" max="29" min="27" style="0" width="40"/>
    <col collapsed="false" customWidth="true" hidden="false" outlineLevel="0" max="30" min="30" style="0" width="45"/>
    <col collapsed="false" customWidth="true" hidden="false" outlineLevel="0" max="31" min="31" style="0" width="18"/>
    <col collapsed="false" customWidth="true" hidden="false" outlineLevel="0" max="32" min="32" style="0" width="30"/>
    <col collapsed="false" customWidth="true" hidden="false" outlineLevel="0" max="33" min="33" style="0" width="40"/>
  </cols>
  <sheetData>
    <row r="1" customFormat="false" ht="42" hidden="false" customHeight="true" outlineLevel="0" collapsed="false">
      <c r="A1" s="9" t="s">
        <v>49</v>
      </c>
      <c r="B1" s="9" t="s">
        <v>50</v>
      </c>
      <c r="C1" s="9" t="s">
        <v>31</v>
      </c>
      <c r="D1" s="9" t="s">
        <v>51</v>
      </c>
      <c r="E1" s="9" t="s">
        <v>52</v>
      </c>
      <c r="F1" s="9" t="s">
        <v>53</v>
      </c>
      <c r="G1" s="9" t="s">
        <v>54</v>
      </c>
      <c r="H1" s="9" t="s">
        <v>55</v>
      </c>
      <c r="I1" s="9" t="s">
        <v>56</v>
      </c>
      <c r="J1" s="9" t="s">
        <v>57</v>
      </c>
      <c r="K1" s="9" t="s">
        <v>58</v>
      </c>
      <c r="L1" s="9" t="s">
        <v>59</v>
      </c>
      <c r="M1" s="9" t="s">
        <v>35</v>
      </c>
      <c r="N1" s="9" t="s">
        <v>39</v>
      </c>
      <c r="O1" s="9" t="s">
        <v>60</v>
      </c>
      <c r="P1" s="9" t="s">
        <v>61</v>
      </c>
      <c r="Q1" s="9" t="s">
        <v>62</v>
      </c>
      <c r="R1" s="9" t="s">
        <v>63</v>
      </c>
      <c r="S1" s="9" t="s">
        <v>64</v>
      </c>
      <c r="T1" s="9" t="s">
        <v>65</v>
      </c>
      <c r="U1" s="9" t="s">
        <v>66</v>
      </c>
      <c r="V1" s="9" t="s">
        <v>67</v>
      </c>
      <c r="W1" s="9" t="s">
        <v>68</v>
      </c>
      <c r="X1" s="9" t="s">
        <v>69</v>
      </c>
      <c r="Y1" s="9" t="s">
        <v>70</v>
      </c>
      <c r="Z1" s="9" t="s">
        <v>71</v>
      </c>
      <c r="AA1" s="9" t="s">
        <v>72</v>
      </c>
      <c r="AB1" s="9" t="s">
        <v>73</v>
      </c>
      <c r="AC1" s="9" t="s">
        <v>74</v>
      </c>
      <c r="AD1" s="9" t="s">
        <v>75</v>
      </c>
      <c r="AE1" s="9" t="s">
        <v>76</v>
      </c>
      <c r="AF1" s="9" t="s">
        <v>77</v>
      </c>
      <c r="AG1" s="9" t="s">
        <v>78</v>
      </c>
    </row>
    <row r="2" customFormat="false" ht="60" hidden="false" customHeight="true" outlineLevel="0" collapsed="false">
      <c r="A2" s="23" t="s">
        <v>1611</v>
      </c>
      <c r="B2" s="16" t="n">
        <v>5</v>
      </c>
      <c r="C2" s="12" t="s">
        <v>13</v>
      </c>
      <c r="D2" s="11" t="s">
        <v>80</v>
      </c>
      <c r="E2" s="12" t="s">
        <v>584</v>
      </c>
      <c r="F2" s="12" t="s">
        <v>1612</v>
      </c>
      <c r="G2" s="13" t="n">
        <v>46251</v>
      </c>
      <c r="H2" s="12" t="s">
        <v>133</v>
      </c>
      <c r="I2" s="12" t="s">
        <v>134</v>
      </c>
      <c r="J2" s="24" t="s">
        <v>1613</v>
      </c>
      <c r="K2" s="11" t="s">
        <v>1614</v>
      </c>
      <c r="L2" s="11" t="s">
        <v>1615</v>
      </c>
      <c r="M2" s="12" t="s">
        <v>1616</v>
      </c>
      <c r="N2" s="12" t="s">
        <v>1617</v>
      </c>
      <c r="O2" s="15" t="s">
        <v>1618</v>
      </c>
      <c r="P2" s="11" t="s">
        <v>1619</v>
      </c>
      <c r="Q2" s="12" t="s">
        <v>602</v>
      </c>
      <c r="R2" s="12" t="s">
        <v>304</v>
      </c>
      <c r="S2" s="12" t="s">
        <v>94</v>
      </c>
      <c r="T2" s="11" t="s">
        <v>183</v>
      </c>
      <c r="U2" s="11" t="s">
        <v>96</v>
      </c>
      <c r="V2" s="11" t="s">
        <v>97</v>
      </c>
      <c r="W2" s="12" t="s">
        <v>1620</v>
      </c>
      <c r="X2" s="11" t="s">
        <v>1621</v>
      </c>
      <c r="Y2" s="12"/>
      <c r="Z2" s="12" t="s">
        <v>1615</v>
      </c>
      <c r="AA2" s="12" t="s">
        <v>102</v>
      </c>
      <c r="AB2" s="12"/>
      <c r="AC2" s="12"/>
      <c r="AD2" s="12" t="s">
        <v>1622</v>
      </c>
      <c r="AE2" s="12" t="s">
        <v>106</v>
      </c>
      <c r="AF2" s="12" t="s">
        <v>1623</v>
      </c>
      <c r="AG2" s="12"/>
    </row>
    <row r="3" customFormat="false" ht="60" hidden="false" customHeight="true" outlineLevel="0" collapsed="false">
      <c r="A3" s="23" t="s">
        <v>1611</v>
      </c>
      <c r="B3" s="16" t="n">
        <v>5</v>
      </c>
      <c r="C3" s="12" t="s">
        <v>13</v>
      </c>
      <c r="D3" s="11" t="s">
        <v>80</v>
      </c>
      <c r="E3" s="12" t="s">
        <v>1624</v>
      </c>
      <c r="F3" s="12" t="s">
        <v>1625</v>
      </c>
      <c r="G3" s="13" t="n">
        <v>46261</v>
      </c>
      <c r="H3" s="12" t="s">
        <v>133</v>
      </c>
      <c r="I3" s="12" t="s">
        <v>134</v>
      </c>
      <c r="J3" s="24" t="s">
        <v>1613</v>
      </c>
      <c r="K3" s="11" t="s">
        <v>1614</v>
      </c>
      <c r="L3" s="11" t="s">
        <v>1615</v>
      </c>
      <c r="M3" s="12" t="s">
        <v>1616</v>
      </c>
      <c r="N3" s="12" t="s">
        <v>1626</v>
      </c>
      <c r="O3" s="15" t="s">
        <v>1627</v>
      </c>
      <c r="P3" s="11" t="s">
        <v>1619</v>
      </c>
      <c r="Q3" s="12" t="s">
        <v>1628</v>
      </c>
      <c r="R3" s="12" t="s">
        <v>1629</v>
      </c>
      <c r="S3" s="12" t="s">
        <v>182</v>
      </c>
      <c r="T3" s="11" t="s">
        <v>95</v>
      </c>
      <c r="U3" s="11" t="s">
        <v>168</v>
      </c>
      <c r="V3" s="11" t="s">
        <v>97</v>
      </c>
      <c r="W3" s="12" t="s">
        <v>1630</v>
      </c>
      <c r="X3" s="11" t="s">
        <v>141</v>
      </c>
      <c r="Y3" s="12"/>
      <c r="Z3" s="12" t="s">
        <v>1615</v>
      </c>
      <c r="AA3" s="12" t="s">
        <v>102</v>
      </c>
      <c r="AB3" s="12"/>
      <c r="AC3" s="12"/>
      <c r="AD3" s="12" t="s">
        <v>1631</v>
      </c>
      <c r="AE3" s="12" t="s">
        <v>106</v>
      </c>
      <c r="AF3" s="12" t="s">
        <v>1632</v>
      </c>
      <c r="AG3" s="12"/>
    </row>
    <row r="4" customFormat="false" ht="60" hidden="false" customHeight="true" outlineLevel="0" collapsed="false">
      <c r="A4" s="23" t="s">
        <v>1611</v>
      </c>
      <c r="B4" s="16" t="n">
        <v>5</v>
      </c>
      <c r="C4" s="12" t="s">
        <v>13</v>
      </c>
      <c r="D4" s="11" t="s">
        <v>80</v>
      </c>
      <c r="E4" s="12" t="s">
        <v>1633</v>
      </c>
      <c r="F4" s="12" t="s">
        <v>1634</v>
      </c>
      <c r="G4" s="13" t="n">
        <v>46265</v>
      </c>
      <c r="H4" s="12" t="s">
        <v>133</v>
      </c>
      <c r="I4" s="12" t="s">
        <v>134</v>
      </c>
      <c r="J4" s="24" t="s">
        <v>1613</v>
      </c>
      <c r="K4" s="11" t="s">
        <v>1614</v>
      </c>
      <c r="L4" s="11" t="s">
        <v>1615</v>
      </c>
      <c r="M4" s="12" t="s">
        <v>1616</v>
      </c>
      <c r="N4" s="12" t="s">
        <v>1635</v>
      </c>
      <c r="O4" s="15" t="s">
        <v>1636</v>
      </c>
      <c r="P4" s="11" t="s">
        <v>1619</v>
      </c>
      <c r="Q4" s="12" t="s">
        <v>1637</v>
      </c>
      <c r="R4" s="12" t="s">
        <v>1638</v>
      </c>
      <c r="S4" s="12" t="s">
        <v>1639</v>
      </c>
      <c r="T4" s="11" t="s">
        <v>183</v>
      </c>
      <c r="U4" s="11" t="s">
        <v>213</v>
      </c>
      <c r="V4" s="11" t="s">
        <v>97</v>
      </c>
      <c r="W4" s="12" t="s">
        <v>1640</v>
      </c>
      <c r="X4" s="11" t="s">
        <v>141</v>
      </c>
      <c r="Y4" s="12"/>
      <c r="Z4" s="12" t="s">
        <v>1615</v>
      </c>
      <c r="AA4" s="12" t="s">
        <v>102</v>
      </c>
      <c r="AB4" s="12"/>
      <c r="AC4" s="12"/>
      <c r="AD4" s="12" t="s">
        <v>1641</v>
      </c>
      <c r="AE4" s="12" t="s">
        <v>106</v>
      </c>
      <c r="AF4" s="12" t="s">
        <v>1642</v>
      </c>
      <c r="AG4" s="12"/>
    </row>
    <row r="5" customFormat="false" ht="60" hidden="false" customHeight="true" outlineLevel="0" collapsed="false">
      <c r="A5" s="23" t="s">
        <v>1611</v>
      </c>
      <c r="B5" s="16" t="n">
        <v>5</v>
      </c>
      <c r="C5" s="12" t="s">
        <v>13</v>
      </c>
      <c r="D5" s="11" t="s">
        <v>80</v>
      </c>
      <c r="E5" s="12" t="s">
        <v>1643</v>
      </c>
      <c r="F5" s="12" t="s">
        <v>1644</v>
      </c>
      <c r="G5" s="13" t="n">
        <v>46295</v>
      </c>
      <c r="H5" s="12" t="s">
        <v>133</v>
      </c>
      <c r="I5" s="12" t="s">
        <v>134</v>
      </c>
      <c r="J5" s="24" t="s">
        <v>1613</v>
      </c>
      <c r="K5" s="11" t="s">
        <v>1614</v>
      </c>
      <c r="L5" s="11" t="s">
        <v>1615</v>
      </c>
      <c r="M5" s="12" t="s">
        <v>1616</v>
      </c>
      <c r="N5" s="12" t="s">
        <v>1645</v>
      </c>
      <c r="O5" s="15" t="s">
        <v>1646</v>
      </c>
      <c r="P5" s="11" t="s">
        <v>1619</v>
      </c>
      <c r="Q5" s="12" t="s">
        <v>1647</v>
      </c>
      <c r="R5" s="12" t="s">
        <v>1648</v>
      </c>
      <c r="S5" s="12" t="s">
        <v>1649</v>
      </c>
      <c r="T5" s="11" t="s">
        <v>95</v>
      </c>
      <c r="U5" s="11" t="s">
        <v>1650</v>
      </c>
      <c r="V5" s="11" t="s">
        <v>97</v>
      </c>
      <c r="W5" s="12" t="s">
        <v>1651</v>
      </c>
      <c r="X5" s="11" t="s">
        <v>1652</v>
      </c>
      <c r="Y5" s="12"/>
      <c r="Z5" s="12" t="s">
        <v>1615</v>
      </c>
      <c r="AA5" s="12" t="s">
        <v>102</v>
      </c>
      <c r="AB5" s="12"/>
      <c r="AC5" s="12"/>
      <c r="AD5" s="12" t="s">
        <v>1653</v>
      </c>
      <c r="AE5" s="12" t="s">
        <v>106</v>
      </c>
      <c r="AF5" s="12" t="s">
        <v>1654</v>
      </c>
      <c r="AG5" s="12"/>
    </row>
    <row r="6" customFormat="false" ht="60" hidden="false" customHeight="true" outlineLevel="0" collapsed="false">
      <c r="A6" s="23" t="s">
        <v>1611</v>
      </c>
      <c r="B6" s="16" t="n">
        <v>5</v>
      </c>
      <c r="C6" s="12" t="s">
        <v>13</v>
      </c>
      <c r="D6" s="11" t="s">
        <v>80</v>
      </c>
      <c r="E6" s="12" t="s">
        <v>222</v>
      </c>
      <c r="F6" s="12" t="s">
        <v>1655</v>
      </c>
      <c r="G6" s="13" t="n">
        <v>46295</v>
      </c>
      <c r="H6" s="12" t="s">
        <v>133</v>
      </c>
      <c r="I6" s="12" t="s">
        <v>134</v>
      </c>
      <c r="J6" s="24" t="s">
        <v>1613</v>
      </c>
      <c r="K6" s="11" t="s">
        <v>1614</v>
      </c>
      <c r="L6" s="11" t="s">
        <v>1615</v>
      </c>
      <c r="M6" s="12" t="s">
        <v>1616</v>
      </c>
      <c r="N6" s="12" t="s">
        <v>1656</v>
      </c>
      <c r="O6" s="15" t="s">
        <v>1657</v>
      </c>
      <c r="P6" s="11" t="s">
        <v>1619</v>
      </c>
      <c r="Q6" s="12" t="s">
        <v>226</v>
      </c>
      <c r="R6" s="12" t="s">
        <v>227</v>
      </c>
      <c r="S6" s="12" t="s">
        <v>182</v>
      </c>
      <c r="T6" s="11" t="s">
        <v>183</v>
      </c>
      <c r="U6" s="11" t="s">
        <v>228</v>
      </c>
      <c r="V6" s="11" t="s">
        <v>97</v>
      </c>
      <c r="W6" s="12" t="s">
        <v>1658</v>
      </c>
      <c r="X6" s="11" t="s">
        <v>1659</v>
      </c>
      <c r="Y6" s="12"/>
      <c r="Z6" s="12" t="s">
        <v>1615</v>
      </c>
      <c r="AA6" s="12" t="s">
        <v>102</v>
      </c>
      <c r="AB6" s="12"/>
      <c r="AC6" s="12"/>
      <c r="AD6" s="12" t="s">
        <v>1660</v>
      </c>
      <c r="AE6" s="12" t="s">
        <v>106</v>
      </c>
      <c r="AF6" s="12" t="s">
        <v>1661</v>
      </c>
      <c r="AG6" s="12"/>
    </row>
    <row r="7" customFormat="false" ht="60" hidden="false" customHeight="true" outlineLevel="0" collapsed="false">
      <c r="A7" s="23" t="s">
        <v>1611</v>
      </c>
      <c r="B7" s="16" t="n">
        <v>5</v>
      </c>
      <c r="C7" s="12" t="s">
        <v>13</v>
      </c>
      <c r="D7" s="11" t="s">
        <v>80</v>
      </c>
      <c r="E7" s="12" t="s">
        <v>238</v>
      </c>
      <c r="F7" s="12" t="s">
        <v>1662</v>
      </c>
      <c r="G7" s="13" t="n">
        <v>46296</v>
      </c>
      <c r="H7" s="12" t="s">
        <v>133</v>
      </c>
      <c r="I7" s="12" t="s">
        <v>134</v>
      </c>
      <c r="J7" s="24" t="s">
        <v>1613</v>
      </c>
      <c r="K7" s="11" t="s">
        <v>1614</v>
      </c>
      <c r="L7" s="11" t="s">
        <v>1615</v>
      </c>
      <c r="M7" s="12" t="s">
        <v>1616</v>
      </c>
      <c r="N7" s="12" t="s">
        <v>1663</v>
      </c>
      <c r="O7" s="15" t="s">
        <v>1664</v>
      </c>
      <c r="P7" s="11" t="s">
        <v>1619</v>
      </c>
      <c r="Q7" s="12" t="s">
        <v>243</v>
      </c>
      <c r="R7" s="12" t="s">
        <v>244</v>
      </c>
      <c r="S7" s="12" t="s">
        <v>182</v>
      </c>
      <c r="T7" s="11" t="s">
        <v>95</v>
      </c>
      <c r="U7" s="11" t="s">
        <v>246</v>
      </c>
      <c r="V7" s="11" t="s">
        <v>97</v>
      </c>
      <c r="W7" s="12" t="s">
        <v>1665</v>
      </c>
      <c r="X7" s="11" t="s">
        <v>248</v>
      </c>
      <c r="Y7" s="12"/>
      <c r="Z7" s="12" t="s">
        <v>1615</v>
      </c>
      <c r="AA7" s="12" t="s">
        <v>102</v>
      </c>
      <c r="AB7" s="12"/>
      <c r="AC7" s="12"/>
      <c r="AD7" s="12" t="s">
        <v>1666</v>
      </c>
      <c r="AE7" s="12" t="s">
        <v>106</v>
      </c>
      <c r="AF7" s="12" t="s">
        <v>1667</v>
      </c>
      <c r="AG7" s="12"/>
    </row>
    <row r="8" customFormat="false" ht="60" hidden="false" customHeight="true" outlineLevel="0" collapsed="false">
      <c r="A8" s="23" t="s">
        <v>1611</v>
      </c>
      <c r="B8" s="16" t="n">
        <v>5</v>
      </c>
      <c r="C8" s="12" t="s">
        <v>13</v>
      </c>
      <c r="D8" s="11" t="s">
        <v>80</v>
      </c>
      <c r="E8" s="12" t="s">
        <v>1668</v>
      </c>
      <c r="F8" s="12" t="s">
        <v>1669</v>
      </c>
      <c r="G8" s="13" t="n">
        <v>46296</v>
      </c>
      <c r="H8" s="12" t="s">
        <v>133</v>
      </c>
      <c r="I8" s="12" t="s">
        <v>134</v>
      </c>
      <c r="J8" s="24" t="s">
        <v>1613</v>
      </c>
      <c r="K8" s="11" t="s">
        <v>1614</v>
      </c>
      <c r="L8" s="11" t="s">
        <v>1615</v>
      </c>
      <c r="M8" s="12" t="s">
        <v>1616</v>
      </c>
      <c r="N8" s="12" t="s">
        <v>1670</v>
      </c>
      <c r="O8" s="15" t="s">
        <v>1671</v>
      </c>
      <c r="P8" s="11" t="s">
        <v>1619</v>
      </c>
      <c r="Q8" s="12" t="s">
        <v>1672</v>
      </c>
      <c r="R8" s="12" t="s">
        <v>1673</v>
      </c>
      <c r="S8" s="12" t="s">
        <v>1674</v>
      </c>
      <c r="T8" s="11" t="s">
        <v>95</v>
      </c>
      <c r="U8" s="11" t="s">
        <v>198</v>
      </c>
      <c r="V8" s="11" t="s">
        <v>97</v>
      </c>
      <c r="W8" s="12" t="s">
        <v>1675</v>
      </c>
      <c r="X8" s="11" t="s">
        <v>141</v>
      </c>
      <c r="Y8" s="12"/>
      <c r="Z8" s="12" t="s">
        <v>1615</v>
      </c>
      <c r="AA8" s="12" t="s">
        <v>102</v>
      </c>
      <c r="AB8" s="12"/>
      <c r="AC8" s="12"/>
      <c r="AD8" s="12" t="s">
        <v>1676</v>
      </c>
      <c r="AE8" s="12" t="s">
        <v>127</v>
      </c>
      <c r="AF8" s="12" t="s">
        <v>1677</v>
      </c>
      <c r="AG8" s="12"/>
    </row>
    <row r="9" customFormat="false" ht="60" hidden="false" customHeight="true" outlineLevel="0" collapsed="false">
      <c r="A9" s="23" t="s">
        <v>1611</v>
      </c>
      <c r="B9" s="16" t="n">
        <v>5</v>
      </c>
      <c r="C9" s="12" t="s">
        <v>13</v>
      </c>
      <c r="D9" s="11" t="s">
        <v>80</v>
      </c>
      <c r="E9" s="12" t="s">
        <v>1678</v>
      </c>
      <c r="F9" s="12" t="s">
        <v>1679</v>
      </c>
      <c r="G9" s="13" t="n">
        <v>46299</v>
      </c>
      <c r="H9" s="12" t="s">
        <v>133</v>
      </c>
      <c r="I9" s="12" t="s">
        <v>134</v>
      </c>
      <c r="J9" s="24" t="s">
        <v>1613</v>
      </c>
      <c r="K9" s="11" t="s">
        <v>1614</v>
      </c>
      <c r="L9" s="11" t="s">
        <v>1615</v>
      </c>
      <c r="M9" s="12" t="s">
        <v>1616</v>
      </c>
      <c r="N9" s="12" t="s">
        <v>1680</v>
      </c>
      <c r="O9" s="15" t="s">
        <v>1681</v>
      </c>
      <c r="P9" s="11" t="s">
        <v>1619</v>
      </c>
      <c r="Q9" s="12" t="s">
        <v>1682</v>
      </c>
      <c r="R9" s="12" t="s">
        <v>1683</v>
      </c>
      <c r="S9" s="12" t="s">
        <v>1684</v>
      </c>
      <c r="T9" s="11" t="s">
        <v>95</v>
      </c>
      <c r="U9" s="11" t="s">
        <v>228</v>
      </c>
      <c r="V9" s="11" t="s">
        <v>97</v>
      </c>
      <c r="W9" s="12" t="s">
        <v>1685</v>
      </c>
      <c r="X9" s="11" t="s">
        <v>141</v>
      </c>
      <c r="Y9" s="12"/>
      <c r="Z9" s="12" t="s">
        <v>1615</v>
      </c>
      <c r="AA9" s="12" t="s">
        <v>102</v>
      </c>
      <c r="AB9" s="12"/>
      <c r="AC9" s="12"/>
      <c r="AD9" s="12" t="s">
        <v>1686</v>
      </c>
      <c r="AE9" s="12" t="s">
        <v>127</v>
      </c>
      <c r="AF9" s="12" t="s">
        <v>1687</v>
      </c>
      <c r="AG9" s="12"/>
    </row>
    <row r="10" customFormat="false" ht="60" hidden="false" customHeight="true" outlineLevel="0" collapsed="false">
      <c r="A10" s="23" t="s">
        <v>1611</v>
      </c>
      <c r="B10" s="16" t="n">
        <v>5</v>
      </c>
      <c r="C10" s="12" t="s">
        <v>13</v>
      </c>
      <c r="D10" s="11" t="s">
        <v>80</v>
      </c>
      <c r="E10" s="12" t="s">
        <v>1688</v>
      </c>
      <c r="F10" s="12" t="s">
        <v>1689</v>
      </c>
      <c r="G10" s="13" t="n">
        <v>46299</v>
      </c>
      <c r="H10" s="12" t="s">
        <v>133</v>
      </c>
      <c r="I10" s="12" t="s">
        <v>134</v>
      </c>
      <c r="J10" s="24" t="s">
        <v>1613</v>
      </c>
      <c r="K10" s="11" t="s">
        <v>1614</v>
      </c>
      <c r="L10" s="11" t="s">
        <v>1615</v>
      </c>
      <c r="M10" s="12" t="s">
        <v>1616</v>
      </c>
      <c r="N10" s="12" t="s">
        <v>1690</v>
      </c>
      <c r="O10" s="15" t="s">
        <v>1691</v>
      </c>
      <c r="P10" s="11" t="s">
        <v>1619</v>
      </c>
      <c r="Q10" s="12" t="s">
        <v>1692</v>
      </c>
      <c r="R10" s="12" t="s">
        <v>1693</v>
      </c>
      <c r="S10" s="12" t="s">
        <v>182</v>
      </c>
      <c r="T10" s="11" t="s">
        <v>95</v>
      </c>
      <c r="U10" s="11" t="s">
        <v>168</v>
      </c>
      <c r="V10" s="11" t="s">
        <v>97</v>
      </c>
      <c r="W10" s="12" t="s">
        <v>1694</v>
      </c>
      <c r="X10" s="11" t="s">
        <v>1695</v>
      </c>
      <c r="Y10" s="12"/>
      <c r="Z10" s="12" t="s">
        <v>1615</v>
      </c>
      <c r="AA10" s="12" t="s">
        <v>102</v>
      </c>
      <c r="AB10" s="12"/>
      <c r="AC10" s="12"/>
      <c r="AD10" s="12" t="s">
        <v>1696</v>
      </c>
      <c r="AE10" s="12" t="s">
        <v>106</v>
      </c>
      <c r="AF10" s="12" t="s">
        <v>1697</v>
      </c>
      <c r="AG10" s="12"/>
    </row>
    <row r="11" customFormat="false" ht="60" hidden="false" customHeight="true" outlineLevel="0" collapsed="false">
      <c r="A11" s="23" t="s">
        <v>1611</v>
      </c>
      <c r="B11" s="16" t="n">
        <v>5</v>
      </c>
      <c r="C11" s="12" t="s">
        <v>13</v>
      </c>
      <c r="D11" s="11" t="s">
        <v>80</v>
      </c>
      <c r="E11" s="12" t="s">
        <v>1698</v>
      </c>
      <c r="F11" s="12" t="s">
        <v>1699</v>
      </c>
      <c r="G11" s="13" t="n">
        <v>46305</v>
      </c>
      <c r="H11" s="12" t="s">
        <v>133</v>
      </c>
      <c r="I11" s="12" t="s">
        <v>134</v>
      </c>
      <c r="J11" s="24" t="s">
        <v>1613</v>
      </c>
      <c r="K11" s="11" t="s">
        <v>1614</v>
      </c>
      <c r="L11" s="11" t="s">
        <v>1615</v>
      </c>
      <c r="M11" s="12" t="s">
        <v>1616</v>
      </c>
      <c r="N11" s="12" t="s">
        <v>1700</v>
      </c>
      <c r="O11" s="15" t="s">
        <v>1701</v>
      </c>
      <c r="P11" s="11" t="s">
        <v>1619</v>
      </c>
      <c r="Q11" s="12" t="s">
        <v>1702</v>
      </c>
      <c r="R11" s="12" t="s">
        <v>1703</v>
      </c>
      <c r="S11" s="12" t="s">
        <v>94</v>
      </c>
      <c r="T11" s="11" t="s">
        <v>95</v>
      </c>
      <c r="U11" s="11" t="s">
        <v>1704</v>
      </c>
      <c r="V11" s="11" t="s">
        <v>97</v>
      </c>
      <c r="W11" s="12" t="s">
        <v>1705</v>
      </c>
      <c r="X11" s="11" t="s">
        <v>1706</v>
      </c>
      <c r="Y11" s="12"/>
      <c r="Z11" s="12" t="s">
        <v>1615</v>
      </c>
      <c r="AA11" s="12" t="s">
        <v>102</v>
      </c>
      <c r="AB11" s="12"/>
      <c r="AC11" s="12"/>
      <c r="AD11" s="12" t="s">
        <v>1707</v>
      </c>
      <c r="AE11" s="12" t="s">
        <v>106</v>
      </c>
      <c r="AF11" s="12" t="s">
        <v>1708</v>
      </c>
      <c r="AG11" s="12"/>
    </row>
    <row r="12" customFormat="false" ht="60" hidden="false" customHeight="true" outlineLevel="0" collapsed="false">
      <c r="A12" s="23" t="s">
        <v>1611</v>
      </c>
      <c r="B12" s="16" t="n">
        <v>5</v>
      </c>
      <c r="C12" s="12" t="s">
        <v>13</v>
      </c>
      <c r="D12" s="11" t="s">
        <v>80</v>
      </c>
      <c r="E12" s="12" t="s">
        <v>1709</v>
      </c>
      <c r="F12" s="12" t="s">
        <v>1710</v>
      </c>
      <c r="G12" s="13" t="n">
        <v>46306</v>
      </c>
      <c r="H12" s="12" t="s">
        <v>133</v>
      </c>
      <c r="I12" s="12" t="s">
        <v>134</v>
      </c>
      <c r="J12" s="24" t="s">
        <v>1613</v>
      </c>
      <c r="K12" s="11" t="s">
        <v>1614</v>
      </c>
      <c r="L12" s="11" t="s">
        <v>1615</v>
      </c>
      <c r="M12" s="12" t="s">
        <v>1616</v>
      </c>
      <c r="N12" s="12" t="s">
        <v>1711</v>
      </c>
      <c r="O12" s="15" t="s">
        <v>1712</v>
      </c>
      <c r="P12" s="11" t="s">
        <v>1619</v>
      </c>
      <c r="Q12" s="12" t="s">
        <v>303</v>
      </c>
      <c r="R12" s="12" t="s">
        <v>490</v>
      </c>
      <c r="S12" s="12" t="s">
        <v>94</v>
      </c>
      <c r="T12" s="11" t="s">
        <v>183</v>
      </c>
      <c r="U12" s="11" t="s">
        <v>96</v>
      </c>
      <c r="V12" s="11" t="s">
        <v>97</v>
      </c>
      <c r="W12" s="12" t="s">
        <v>1713</v>
      </c>
      <c r="X12" s="11" t="s">
        <v>1714</v>
      </c>
      <c r="Y12" s="12"/>
      <c r="Z12" s="12" t="s">
        <v>1615</v>
      </c>
      <c r="AA12" s="12" t="s">
        <v>102</v>
      </c>
      <c r="AB12" s="12"/>
      <c r="AC12" s="12"/>
      <c r="AD12" s="12" t="s">
        <v>1715</v>
      </c>
      <c r="AE12" s="12" t="s">
        <v>106</v>
      </c>
      <c r="AF12" s="12" t="s">
        <v>1716</v>
      </c>
      <c r="AG12" s="12"/>
    </row>
    <row r="13" customFormat="false" ht="60" hidden="false" customHeight="true" outlineLevel="0" collapsed="false">
      <c r="A13" s="23" t="s">
        <v>1611</v>
      </c>
      <c r="B13" s="11" t="n">
        <v>4</v>
      </c>
      <c r="C13" s="12" t="s">
        <v>13</v>
      </c>
      <c r="D13" s="11" t="s">
        <v>80</v>
      </c>
      <c r="E13" s="12" t="s">
        <v>1717</v>
      </c>
      <c r="F13" s="12" t="s">
        <v>1718</v>
      </c>
      <c r="G13" s="13" t="n">
        <v>46310</v>
      </c>
      <c r="H13" s="12" t="s">
        <v>83</v>
      </c>
      <c r="I13" s="12" t="s">
        <v>84</v>
      </c>
      <c r="J13" s="24" t="s">
        <v>1613</v>
      </c>
      <c r="K13" s="11" t="s">
        <v>1614</v>
      </c>
      <c r="L13" s="11" t="s">
        <v>1615</v>
      </c>
      <c r="M13" s="12" t="s">
        <v>1616</v>
      </c>
      <c r="N13" s="12" t="s">
        <v>1719</v>
      </c>
      <c r="O13" s="15" t="s">
        <v>1720</v>
      </c>
      <c r="P13" s="11" t="s">
        <v>1619</v>
      </c>
      <c r="Q13" s="12" t="s">
        <v>1721</v>
      </c>
      <c r="R13" s="12" t="s">
        <v>1722</v>
      </c>
      <c r="S13" s="12" t="s">
        <v>182</v>
      </c>
      <c r="T13" s="11" t="s">
        <v>95</v>
      </c>
      <c r="U13" s="11" t="s">
        <v>1271</v>
      </c>
      <c r="V13" s="11" t="s">
        <v>97</v>
      </c>
      <c r="W13" s="12" t="s">
        <v>1723</v>
      </c>
      <c r="X13" s="11" t="s">
        <v>1724</v>
      </c>
      <c r="Y13" s="12"/>
      <c r="Z13" s="12" t="s">
        <v>1615</v>
      </c>
      <c r="AA13" s="12" t="s">
        <v>102</v>
      </c>
      <c r="AB13" s="12"/>
      <c r="AC13" s="12"/>
      <c r="AD13" s="12" t="s">
        <v>1725</v>
      </c>
      <c r="AE13" s="12" t="s">
        <v>106</v>
      </c>
      <c r="AF13" s="12" t="s">
        <v>1726</v>
      </c>
      <c r="AG13" s="12"/>
    </row>
    <row r="14" customFormat="false" ht="60" hidden="false" customHeight="true" outlineLevel="0" collapsed="false">
      <c r="A14" s="23" t="s">
        <v>1611</v>
      </c>
      <c r="B14" s="16" t="n">
        <v>5</v>
      </c>
      <c r="C14" s="12" t="s">
        <v>13</v>
      </c>
      <c r="D14" s="11" t="s">
        <v>80</v>
      </c>
      <c r="E14" s="12" t="s">
        <v>1727</v>
      </c>
      <c r="F14" s="12" t="s">
        <v>1728</v>
      </c>
      <c r="G14" s="13" t="n">
        <v>46311</v>
      </c>
      <c r="H14" s="12" t="s">
        <v>83</v>
      </c>
      <c r="I14" s="12" t="s">
        <v>1729</v>
      </c>
      <c r="J14" s="24" t="s">
        <v>1613</v>
      </c>
      <c r="K14" s="11" t="s">
        <v>1614</v>
      </c>
      <c r="L14" s="11" t="s">
        <v>1615</v>
      </c>
      <c r="M14" s="12" t="s">
        <v>1616</v>
      </c>
      <c r="N14" s="12" t="s">
        <v>1730</v>
      </c>
      <c r="O14" s="15" t="s">
        <v>1731</v>
      </c>
      <c r="P14" s="11" t="s">
        <v>1619</v>
      </c>
      <c r="Q14" s="12" t="s">
        <v>602</v>
      </c>
      <c r="R14" s="12" t="s">
        <v>1732</v>
      </c>
      <c r="S14" s="12" t="s">
        <v>182</v>
      </c>
      <c r="T14" s="11" t="s">
        <v>95</v>
      </c>
      <c r="U14" s="11" t="s">
        <v>1348</v>
      </c>
      <c r="V14" s="11" t="s">
        <v>97</v>
      </c>
      <c r="W14" s="12" t="s">
        <v>1733</v>
      </c>
      <c r="X14" s="11" t="s">
        <v>425</v>
      </c>
      <c r="Y14" s="12"/>
      <c r="Z14" s="12" t="s">
        <v>1615</v>
      </c>
      <c r="AA14" s="12" t="s">
        <v>102</v>
      </c>
      <c r="AB14" s="12"/>
      <c r="AC14" s="12"/>
      <c r="AD14" s="12" t="s">
        <v>1734</v>
      </c>
      <c r="AE14" s="12" t="s">
        <v>596</v>
      </c>
      <c r="AF14" s="12" t="s">
        <v>1735</v>
      </c>
      <c r="AG14" s="12"/>
    </row>
    <row r="15" customFormat="false" ht="60" hidden="false" customHeight="true" outlineLevel="0" collapsed="false">
      <c r="A15" s="23" t="s">
        <v>1611</v>
      </c>
      <c r="B15" s="16" t="n">
        <v>5</v>
      </c>
      <c r="C15" s="12" t="s">
        <v>13</v>
      </c>
      <c r="D15" s="11" t="s">
        <v>80</v>
      </c>
      <c r="E15" s="12" t="s">
        <v>1019</v>
      </c>
      <c r="F15" s="12" t="s">
        <v>1736</v>
      </c>
      <c r="G15" s="13" t="n">
        <v>46321</v>
      </c>
      <c r="H15" s="12" t="s">
        <v>133</v>
      </c>
      <c r="I15" s="12" t="s">
        <v>134</v>
      </c>
      <c r="J15" s="24" t="s">
        <v>1613</v>
      </c>
      <c r="K15" s="11" t="s">
        <v>1614</v>
      </c>
      <c r="L15" s="11" t="s">
        <v>1615</v>
      </c>
      <c r="M15" s="12" t="s">
        <v>1616</v>
      </c>
      <c r="N15" s="12" t="s">
        <v>1737</v>
      </c>
      <c r="O15" s="15" t="s">
        <v>1738</v>
      </c>
      <c r="P15" s="11" t="s">
        <v>1619</v>
      </c>
      <c r="Q15" s="12" t="s">
        <v>1739</v>
      </c>
      <c r="R15" s="12" t="s">
        <v>1024</v>
      </c>
      <c r="S15" s="12" t="s">
        <v>182</v>
      </c>
      <c r="T15" s="11" t="s">
        <v>95</v>
      </c>
      <c r="U15" s="11" t="s">
        <v>452</v>
      </c>
      <c r="V15" s="11" t="s">
        <v>97</v>
      </c>
      <c r="W15" s="12" t="s">
        <v>1740</v>
      </c>
      <c r="X15" s="11" t="s">
        <v>141</v>
      </c>
      <c r="Y15" s="12"/>
      <c r="Z15" s="12" t="s">
        <v>1615</v>
      </c>
      <c r="AA15" s="12" t="s">
        <v>102</v>
      </c>
      <c r="AB15" s="12"/>
      <c r="AC15" s="12"/>
      <c r="AD15" s="12" t="s">
        <v>1741</v>
      </c>
      <c r="AE15" s="12" t="s">
        <v>127</v>
      </c>
      <c r="AF15" s="12" t="s">
        <v>1742</v>
      </c>
      <c r="AG15" s="12"/>
    </row>
    <row r="16" customFormat="false" ht="60" hidden="false" customHeight="true" outlineLevel="0" collapsed="false">
      <c r="A16" s="23" t="s">
        <v>1611</v>
      </c>
      <c r="B16" s="11" t="n">
        <v>4</v>
      </c>
      <c r="C16" s="12" t="s">
        <v>13</v>
      </c>
      <c r="D16" s="11" t="s">
        <v>80</v>
      </c>
      <c r="E16" s="12" t="s">
        <v>111</v>
      </c>
      <c r="F16" s="12" t="s">
        <v>1743</v>
      </c>
      <c r="G16" s="13" t="n">
        <v>46327</v>
      </c>
      <c r="H16" s="12" t="s">
        <v>83</v>
      </c>
      <c r="I16" s="12" t="s">
        <v>1744</v>
      </c>
      <c r="J16" s="24" t="s">
        <v>1613</v>
      </c>
      <c r="K16" s="11" t="s">
        <v>1614</v>
      </c>
      <c r="L16" s="11" t="s">
        <v>1615</v>
      </c>
      <c r="M16" s="12" t="s">
        <v>1616</v>
      </c>
      <c r="N16" s="12" t="s">
        <v>1745</v>
      </c>
      <c r="O16" s="15" t="s">
        <v>1746</v>
      </c>
      <c r="P16" s="11" t="s">
        <v>1619</v>
      </c>
      <c r="Q16" s="12" t="s">
        <v>117</v>
      </c>
      <c r="R16" s="12" t="s">
        <v>118</v>
      </c>
      <c r="S16" s="12" t="s">
        <v>182</v>
      </c>
      <c r="T16" s="11" t="s">
        <v>95</v>
      </c>
      <c r="U16" s="11" t="s">
        <v>120</v>
      </c>
      <c r="V16" s="11" t="s">
        <v>121</v>
      </c>
      <c r="W16" s="12" t="s">
        <v>1747</v>
      </c>
      <c r="X16" s="11" t="s">
        <v>99</v>
      </c>
      <c r="Y16" s="12"/>
      <c r="Z16" s="12" t="s">
        <v>1615</v>
      </c>
      <c r="AA16" s="12" t="s">
        <v>102</v>
      </c>
      <c r="AB16" s="12"/>
      <c r="AC16" s="12"/>
      <c r="AD16" s="12" t="s">
        <v>1748</v>
      </c>
      <c r="AE16" s="12" t="s">
        <v>127</v>
      </c>
      <c r="AF16" s="12" t="s">
        <v>1749</v>
      </c>
      <c r="AG16" s="12"/>
    </row>
    <row r="17" customFormat="false" ht="60" hidden="false" customHeight="true" outlineLevel="0" collapsed="false">
      <c r="A17" s="23" t="s">
        <v>1611</v>
      </c>
      <c r="B17" s="11" t="n">
        <v>4</v>
      </c>
      <c r="C17" s="12" t="s">
        <v>13</v>
      </c>
      <c r="D17" s="11" t="s">
        <v>80</v>
      </c>
      <c r="E17" s="12" t="s">
        <v>1750</v>
      </c>
      <c r="F17" s="12" t="s">
        <v>1751</v>
      </c>
      <c r="G17" s="13" t="n">
        <v>46331</v>
      </c>
      <c r="H17" s="12" t="s">
        <v>83</v>
      </c>
      <c r="I17" s="12" t="s">
        <v>1459</v>
      </c>
      <c r="J17" s="24" t="s">
        <v>1613</v>
      </c>
      <c r="K17" s="11" t="s">
        <v>1614</v>
      </c>
      <c r="L17" s="11" t="s">
        <v>1615</v>
      </c>
      <c r="M17" s="12" t="s">
        <v>1616</v>
      </c>
      <c r="N17" s="12" t="s">
        <v>1752</v>
      </c>
      <c r="O17" s="15" t="s">
        <v>1753</v>
      </c>
      <c r="P17" s="11" t="s">
        <v>1619</v>
      </c>
      <c r="Q17" s="12" t="s">
        <v>1754</v>
      </c>
      <c r="R17" s="12" t="s">
        <v>1755</v>
      </c>
      <c r="S17" s="12" t="s">
        <v>94</v>
      </c>
      <c r="T17" s="11" t="s">
        <v>95</v>
      </c>
      <c r="U17" s="11" t="s">
        <v>96</v>
      </c>
      <c r="V17" s="11" t="s">
        <v>97</v>
      </c>
      <c r="W17" s="12" t="s">
        <v>1756</v>
      </c>
      <c r="X17" s="11" t="s">
        <v>1757</v>
      </c>
      <c r="Y17" s="12"/>
      <c r="Z17" s="12" t="s">
        <v>1615</v>
      </c>
      <c r="AA17" s="12" t="s">
        <v>102</v>
      </c>
      <c r="AB17" s="12"/>
      <c r="AC17" s="12"/>
      <c r="AD17" s="12" t="s">
        <v>1758</v>
      </c>
      <c r="AE17" s="12" t="s">
        <v>106</v>
      </c>
      <c r="AF17" s="12" t="s">
        <v>1759</v>
      </c>
      <c r="AG17" s="12"/>
    </row>
    <row r="18" customFormat="false" ht="60" hidden="false" customHeight="true" outlineLevel="0" collapsed="false">
      <c r="A18" s="23" t="s">
        <v>1611</v>
      </c>
      <c r="B18" s="16" t="n">
        <v>5</v>
      </c>
      <c r="C18" s="12" t="s">
        <v>13</v>
      </c>
      <c r="D18" s="11" t="s">
        <v>80</v>
      </c>
      <c r="E18" s="12" t="s">
        <v>1760</v>
      </c>
      <c r="F18" s="12" t="s">
        <v>1761</v>
      </c>
      <c r="G18" s="13" t="n">
        <v>46341</v>
      </c>
      <c r="H18" s="12" t="s">
        <v>83</v>
      </c>
      <c r="I18" s="12" t="s">
        <v>1487</v>
      </c>
      <c r="J18" s="24" t="s">
        <v>1613</v>
      </c>
      <c r="K18" s="11" t="s">
        <v>1614</v>
      </c>
      <c r="L18" s="11" t="s">
        <v>1615</v>
      </c>
      <c r="M18" s="12" t="s">
        <v>1616</v>
      </c>
      <c r="N18" s="12" t="s">
        <v>1762</v>
      </c>
      <c r="O18" s="15" t="s">
        <v>1763</v>
      </c>
      <c r="P18" s="11" t="s">
        <v>1619</v>
      </c>
      <c r="Q18" s="12" t="s">
        <v>1764</v>
      </c>
      <c r="R18" s="12" t="s">
        <v>1765</v>
      </c>
      <c r="S18" s="12" t="s">
        <v>1766</v>
      </c>
      <c r="T18" s="11" t="s">
        <v>95</v>
      </c>
      <c r="U18" s="11" t="s">
        <v>139</v>
      </c>
      <c r="V18" s="11" t="s">
        <v>97</v>
      </c>
      <c r="W18" s="12" t="s">
        <v>1767</v>
      </c>
      <c r="X18" s="11" t="s">
        <v>1768</v>
      </c>
      <c r="Y18" s="12"/>
      <c r="Z18" s="12" t="s">
        <v>1615</v>
      </c>
      <c r="AA18" s="12" t="s">
        <v>102</v>
      </c>
      <c r="AB18" s="12"/>
      <c r="AC18" s="12"/>
      <c r="AD18" s="12" t="s">
        <v>1769</v>
      </c>
      <c r="AE18" s="12" t="s">
        <v>106</v>
      </c>
      <c r="AF18" s="12" t="s">
        <v>1770</v>
      </c>
      <c r="AG18" s="12"/>
    </row>
    <row r="19" customFormat="false" ht="60" hidden="false" customHeight="true" outlineLevel="0" collapsed="false">
      <c r="A19" s="23" t="s">
        <v>1611</v>
      </c>
      <c r="B19" s="16" t="n">
        <v>5</v>
      </c>
      <c r="C19" s="12" t="s">
        <v>13</v>
      </c>
      <c r="D19" s="11" t="s">
        <v>80</v>
      </c>
      <c r="E19" s="12" t="s">
        <v>1471</v>
      </c>
      <c r="F19" s="12" t="s">
        <v>1771</v>
      </c>
      <c r="G19" s="11"/>
      <c r="H19" s="12" t="s">
        <v>487</v>
      </c>
      <c r="I19" s="12" t="s">
        <v>134</v>
      </c>
      <c r="J19" s="24" t="s">
        <v>1613</v>
      </c>
      <c r="K19" s="11" t="s">
        <v>1614</v>
      </c>
      <c r="L19" s="11" t="s">
        <v>1615</v>
      </c>
      <c r="M19" s="12" t="s">
        <v>1616</v>
      </c>
      <c r="N19" s="12" t="s">
        <v>1772</v>
      </c>
      <c r="O19" s="15" t="s">
        <v>1773</v>
      </c>
      <c r="P19" s="11" t="s">
        <v>1619</v>
      </c>
      <c r="Q19" s="12" t="s">
        <v>602</v>
      </c>
      <c r="R19" s="12" t="s">
        <v>1476</v>
      </c>
      <c r="S19" s="12" t="s">
        <v>94</v>
      </c>
      <c r="T19" s="11" t="s">
        <v>95</v>
      </c>
      <c r="U19" s="11" t="s">
        <v>1477</v>
      </c>
      <c r="V19" s="11" t="s">
        <v>97</v>
      </c>
      <c r="W19" s="12" t="s">
        <v>1774</v>
      </c>
      <c r="X19" s="11" t="s">
        <v>141</v>
      </c>
      <c r="Y19" s="12"/>
      <c r="Z19" s="12" t="s">
        <v>1615</v>
      </c>
      <c r="AA19" s="12" t="s">
        <v>102</v>
      </c>
      <c r="AB19" s="12"/>
      <c r="AC19" s="12"/>
      <c r="AD19" s="12" t="s">
        <v>1775</v>
      </c>
      <c r="AE19" s="12" t="s">
        <v>106</v>
      </c>
      <c r="AF19" s="12" t="s">
        <v>1776</v>
      </c>
      <c r="AG19" s="12"/>
    </row>
    <row r="20" customFormat="false" ht="60" hidden="false" customHeight="true" outlineLevel="0" collapsed="false">
      <c r="A20" s="23" t="s">
        <v>1611</v>
      </c>
      <c r="B20" s="16" t="n">
        <v>5</v>
      </c>
      <c r="C20" s="12" t="s">
        <v>13</v>
      </c>
      <c r="D20" s="11" t="s">
        <v>80</v>
      </c>
      <c r="E20" s="12" t="s">
        <v>1777</v>
      </c>
      <c r="F20" s="12" t="s">
        <v>1778</v>
      </c>
      <c r="G20" s="11"/>
      <c r="H20" s="12" t="s">
        <v>544</v>
      </c>
      <c r="I20" s="12" t="s">
        <v>86</v>
      </c>
      <c r="J20" s="24" t="s">
        <v>1613</v>
      </c>
      <c r="K20" s="11" t="s">
        <v>1614</v>
      </c>
      <c r="L20" s="11" t="s">
        <v>1615</v>
      </c>
      <c r="M20" s="12" t="s">
        <v>1616</v>
      </c>
      <c r="N20" s="12" t="s">
        <v>1779</v>
      </c>
      <c r="O20" s="15" t="s">
        <v>1780</v>
      </c>
      <c r="P20" s="11" t="s">
        <v>1619</v>
      </c>
      <c r="Q20" s="12" t="s">
        <v>1781</v>
      </c>
      <c r="R20" s="12" t="s">
        <v>1782</v>
      </c>
      <c r="S20" s="12" t="s">
        <v>1783</v>
      </c>
      <c r="T20" s="11" t="s">
        <v>95</v>
      </c>
      <c r="U20" s="11" t="s">
        <v>139</v>
      </c>
      <c r="V20" s="11" t="s">
        <v>97</v>
      </c>
      <c r="W20" s="12" t="s">
        <v>1784</v>
      </c>
      <c r="X20" s="11" t="s">
        <v>1785</v>
      </c>
      <c r="Y20" s="12"/>
      <c r="Z20" s="12" t="s">
        <v>1615</v>
      </c>
      <c r="AA20" s="12" t="s">
        <v>102</v>
      </c>
      <c r="AB20" s="12"/>
      <c r="AC20" s="12"/>
      <c r="AD20" s="12" t="s">
        <v>1786</v>
      </c>
      <c r="AE20" s="12" t="s">
        <v>106</v>
      </c>
      <c r="AF20" s="12" t="s">
        <v>1787</v>
      </c>
      <c r="AG20" s="12"/>
    </row>
    <row r="21" customFormat="false" ht="60" hidden="false" customHeight="true" outlineLevel="0" collapsed="false">
      <c r="A21" s="23" t="s">
        <v>1611</v>
      </c>
      <c r="B21" s="16" t="n">
        <v>5</v>
      </c>
      <c r="C21" s="12" t="s">
        <v>13</v>
      </c>
      <c r="D21" s="11" t="s">
        <v>80</v>
      </c>
      <c r="E21" s="12" t="s">
        <v>176</v>
      </c>
      <c r="F21" s="12" t="s">
        <v>1788</v>
      </c>
      <c r="G21" s="11"/>
      <c r="H21" s="12" t="s">
        <v>487</v>
      </c>
      <c r="I21" s="12" t="s">
        <v>134</v>
      </c>
      <c r="J21" s="24" t="s">
        <v>1613</v>
      </c>
      <c r="K21" s="11" t="s">
        <v>1614</v>
      </c>
      <c r="L21" s="11" t="s">
        <v>1615</v>
      </c>
      <c r="M21" s="12" t="s">
        <v>1616</v>
      </c>
      <c r="N21" s="12" t="s">
        <v>1789</v>
      </c>
      <c r="O21" s="15" t="s">
        <v>1790</v>
      </c>
      <c r="P21" s="11" t="s">
        <v>1619</v>
      </c>
      <c r="Q21" s="12" t="s">
        <v>364</v>
      </c>
      <c r="R21" s="12" t="s">
        <v>181</v>
      </c>
      <c r="S21" s="12" t="s">
        <v>1791</v>
      </c>
      <c r="T21" s="11" t="s">
        <v>183</v>
      </c>
      <c r="U21" s="11" t="s">
        <v>184</v>
      </c>
      <c r="V21" s="11" t="s">
        <v>97</v>
      </c>
      <c r="W21" s="12" t="s">
        <v>1792</v>
      </c>
      <c r="X21" s="11" t="s">
        <v>1793</v>
      </c>
      <c r="Y21" s="12"/>
      <c r="Z21" s="12" t="s">
        <v>1615</v>
      </c>
      <c r="AA21" s="12" t="s">
        <v>102</v>
      </c>
      <c r="AB21" s="12"/>
      <c r="AC21" s="12"/>
      <c r="AD21" s="12" t="s">
        <v>1794</v>
      </c>
      <c r="AE21" s="12" t="s">
        <v>106</v>
      </c>
      <c r="AF21" s="12" t="s">
        <v>1795</v>
      </c>
      <c r="AG21" s="12"/>
    </row>
    <row r="22" customFormat="false" ht="60" hidden="false" customHeight="true" outlineLevel="0" collapsed="false">
      <c r="A22" s="23" t="s">
        <v>1611</v>
      </c>
      <c r="B22" s="16" t="n">
        <v>5</v>
      </c>
      <c r="C22" s="12" t="s">
        <v>13</v>
      </c>
      <c r="D22" s="11" t="s">
        <v>80</v>
      </c>
      <c r="E22" s="12" t="s">
        <v>1112</v>
      </c>
      <c r="F22" s="12" t="s">
        <v>1796</v>
      </c>
      <c r="G22" s="11"/>
      <c r="H22" s="12" t="s">
        <v>487</v>
      </c>
      <c r="I22" s="12" t="s">
        <v>134</v>
      </c>
      <c r="J22" s="24" t="s">
        <v>1613</v>
      </c>
      <c r="K22" s="11" t="s">
        <v>1614</v>
      </c>
      <c r="L22" s="11" t="s">
        <v>1615</v>
      </c>
      <c r="M22" s="12" t="s">
        <v>1616</v>
      </c>
      <c r="N22" s="12" t="s">
        <v>1797</v>
      </c>
      <c r="O22" s="15" t="s">
        <v>1798</v>
      </c>
      <c r="P22" s="11" t="s">
        <v>1619</v>
      </c>
      <c r="Q22" s="12" t="s">
        <v>1799</v>
      </c>
      <c r="R22" s="12" t="s">
        <v>1117</v>
      </c>
      <c r="S22" s="12" t="s">
        <v>94</v>
      </c>
      <c r="T22" s="11" t="s">
        <v>95</v>
      </c>
      <c r="U22" s="11" t="s">
        <v>920</v>
      </c>
      <c r="V22" s="11" t="s">
        <v>97</v>
      </c>
      <c r="W22" s="12" t="s">
        <v>1800</v>
      </c>
      <c r="X22" s="11" t="s">
        <v>141</v>
      </c>
      <c r="Y22" s="12"/>
      <c r="Z22" s="12" t="s">
        <v>1615</v>
      </c>
      <c r="AA22" s="12" t="s">
        <v>102</v>
      </c>
      <c r="AB22" s="12"/>
      <c r="AC22" s="12"/>
      <c r="AD22" s="12" t="s">
        <v>1801</v>
      </c>
      <c r="AE22" s="12" t="s">
        <v>106</v>
      </c>
      <c r="AF22" s="12" t="s">
        <v>1802</v>
      </c>
      <c r="AG22" s="12"/>
    </row>
    <row r="23" customFormat="false" ht="60" hidden="false" customHeight="true" outlineLevel="0" collapsed="false">
      <c r="A23" s="23" t="s">
        <v>1611</v>
      </c>
      <c r="B23" s="16" t="n">
        <v>5</v>
      </c>
      <c r="C23" s="12" t="s">
        <v>13</v>
      </c>
      <c r="D23" s="11" t="s">
        <v>80</v>
      </c>
      <c r="E23" s="12" t="s">
        <v>1803</v>
      </c>
      <c r="F23" s="12" t="s">
        <v>1804</v>
      </c>
      <c r="G23" s="11"/>
      <c r="H23" s="12" t="s">
        <v>487</v>
      </c>
      <c r="I23" s="12" t="s">
        <v>134</v>
      </c>
      <c r="J23" s="24" t="s">
        <v>1613</v>
      </c>
      <c r="K23" s="11" t="s">
        <v>1614</v>
      </c>
      <c r="L23" s="11" t="s">
        <v>1615</v>
      </c>
      <c r="M23" s="12" t="s">
        <v>1616</v>
      </c>
      <c r="N23" s="12" t="s">
        <v>1805</v>
      </c>
      <c r="O23" s="15" t="s">
        <v>1806</v>
      </c>
      <c r="P23" s="11" t="s">
        <v>1619</v>
      </c>
      <c r="Q23" s="12" t="s">
        <v>1807</v>
      </c>
      <c r="R23" s="12" t="s">
        <v>1808</v>
      </c>
      <c r="S23" s="12" t="s">
        <v>182</v>
      </c>
      <c r="T23" s="11" t="s">
        <v>183</v>
      </c>
      <c r="U23" s="11" t="s">
        <v>96</v>
      </c>
      <c r="V23" s="11" t="s">
        <v>97</v>
      </c>
      <c r="W23" s="12" t="s">
        <v>1809</v>
      </c>
      <c r="X23" s="11" t="s">
        <v>1810</v>
      </c>
      <c r="Y23" s="12"/>
      <c r="Z23" s="12" t="s">
        <v>1615</v>
      </c>
      <c r="AA23" s="12" t="s">
        <v>102</v>
      </c>
      <c r="AB23" s="12"/>
      <c r="AC23" s="12"/>
      <c r="AD23" s="12" t="s">
        <v>1811</v>
      </c>
      <c r="AE23" s="12" t="s">
        <v>106</v>
      </c>
      <c r="AF23" s="12" t="s">
        <v>1812</v>
      </c>
      <c r="AG23" s="12"/>
    </row>
    <row r="24" customFormat="false" ht="60" hidden="false" customHeight="true" outlineLevel="0" collapsed="false">
      <c r="A24" s="23" t="s">
        <v>1611</v>
      </c>
      <c r="B24" s="16" t="n">
        <v>5</v>
      </c>
      <c r="C24" s="12" t="s">
        <v>13</v>
      </c>
      <c r="D24" s="11" t="s">
        <v>80</v>
      </c>
      <c r="E24" s="12" t="s">
        <v>816</v>
      </c>
      <c r="F24" s="12" t="s">
        <v>1813</v>
      </c>
      <c r="G24" s="11"/>
      <c r="H24" s="12" t="s">
        <v>544</v>
      </c>
      <c r="I24" s="12" t="s">
        <v>86</v>
      </c>
      <c r="J24" s="24" t="s">
        <v>1613</v>
      </c>
      <c r="K24" s="11" t="s">
        <v>1614</v>
      </c>
      <c r="L24" s="11" t="s">
        <v>1615</v>
      </c>
      <c r="M24" s="12" t="s">
        <v>1616</v>
      </c>
      <c r="N24" s="12" t="s">
        <v>1814</v>
      </c>
      <c r="O24" s="15" t="s">
        <v>1815</v>
      </c>
      <c r="P24" s="11" t="s">
        <v>1619</v>
      </c>
      <c r="Q24" s="12" t="s">
        <v>1816</v>
      </c>
      <c r="R24" s="12" t="s">
        <v>821</v>
      </c>
      <c r="S24" s="12" t="s">
        <v>1817</v>
      </c>
      <c r="T24" s="11" t="s">
        <v>95</v>
      </c>
      <c r="U24" s="11" t="s">
        <v>823</v>
      </c>
      <c r="V24" s="11" t="s">
        <v>97</v>
      </c>
      <c r="W24" s="12" t="s">
        <v>1818</v>
      </c>
      <c r="X24" s="11" t="s">
        <v>86</v>
      </c>
      <c r="Y24" s="12"/>
      <c r="Z24" s="12" t="s">
        <v>1615</v>
      </c>
      <c r="AA24" s="12" t="s">
        <v>102</v>
      </c>
      <c r="AB24" s="12"/>
      <c r="AC24" s="12"/>
      <c r="AD24" s="12" t="s">
        <v>1819</v>
      </c>
      <c r="AE24" s="12" t="s">
        <v>127</v>
      </c>
      <c r="AF24" s="12" t="s">
        <v>1820</v>
      </c>
      <c r="AG24" s="12"/>
    </row>
    <row r="25" customFormat="false" ht="60" hidden="false" customHeight="true" outlineLevel="0" collapsed="false">
      <c r="A25" s="23" t="s">
        <v>1611</v>
      </c>
      <c r="B25" s="16" t="n">
        <v>5</v>
      </c>
      <c r="C25" s="12" t="s">
        <v>13</v>
      </c>
      <c r="D25" s="11" t="s">
        <v>80</v>
      </c>
      <c r="E25" s="12" t="s">
        <v>1821</v>
      </c>
      <c r="F25" s="12" t="s">
        <v>1822</v>
      </c>
      <c r="G25" s="11"/>
      <c r="H25" s="12" t="s">
        <v>487</v>
      </c>
      <c r="I25" s="12" t="s">
        <v>134</v>
      </c>
      <c r="J25" s="24" t="s">
        <v>1613</v>
      </c>
      <c r="K25" s="11" t="s">
        <v>1614</v>
      </c>
      <c r="L25" s="11" t="s">
        <v>1615</v>
      </c>
      <c r="M25" s="12" t="s">
        <v>1616</v>
      </c>
      <c r="N25" s="12" t="s">
        <v>1823</v>
      </c>
      <c r="O25" s="15" t="s">
        <v>1824</v>
      </c>
      <c r="P25" s="11" t="s">
        <v>1619</v>
      </c>
      <c r="Q25" s="12" t="s">
        <v>1426</v>
      </c>
      <c r="R25" s="12" t="s">
        <v>1825</v>
      </c>
      <c r="S25" s="12" t="s">
        <v>182</v>
      </c>
      <c r="T25" s="11" t="s">
        <v>95</v>
      </c>
      <c r="U25" s="11" t="s">
        <v>228</v>
      </c>
      <c r="V25" s="11" t="s">
        <v>97</v>
      </c>
      <c r="W25" s="12" t="s">
        <v>1826</v>
      </c>
      <c r="X25" s="11" t="s">
        <v>324</v>
      </c>
      <c r="Y25" s="12"/>
      <c r="Z25" s="12" t="s">
        <v>1615</v>
      </c>
      <c r="AA25" s="12" t="s">
        <v>102</v>
      </c>
      <c r="AB25" s="12"/>
      <c r="AC25" s="12"/>
      <c r="AD25" s="12" t="s">
        <v>1827</v>
      </c>
      <c r="AE25" s="12" t="s">
        <v>106</v>
      </c>
      <c r="AF25" s="12" t="s">
        <v>1828</v>
      </c>
      <c r="AG25" s="12"/>
    </row>
    <row r="26" customFormat="false" ht="60" hidden="false" customHeight="true" outlineLevel="0" collapsed="false">
      <c r="A26" s="23" t="s">
        <v>1611</v>
      </c>
      <c r="B26" s="16" t="n">
        <v>5</v>
      </c>
      <c r="C26" s="12" t="s">
        <v>13</v>
      </c>
      <c r="D26" s="11" t="s">
        <v>80</v>
      </c>
      <c r="E26" s="12" t="s">
        <v>914</v>
      </c>
      <c r="F26" s="12" t="s">
        <v>1829</v>
      </c>
      <c r="G26" s="11"/>
      <c r="H26" s="12" t="s">
        <v>544</v>
      </c>
      <c r="I26" s="12" t="s">
        <v>86</v>
      </c>
      <c r="J26" s="24" t="s">
        <v>1613</v>
      </c>
      <c r="K26" s="11" t="s">
        <v>1614</v>
      </c>
      <c r="L26" s="11" t="s">
        <v>1615</v>
      </c>
      <c r="M26" s="12" t="s">
        <v>1616</v>
      </c>
      <c r="N26" s="12" t="s">
        <v>1830</v>
      </c>
      <c r="O26" s="15" t="s">
        <v>1831</v>
      </c>
      <c r="P26" s="11" t="s">
        <v>1619</v>
      </c>
      <c r="Q26" s="12" t="s">
        <v>918</v>
      </c>
      <c r="R26" s="12" t="s">
        <v>919</v>
      </c>
      <c r="S26" s="12" t="s">
        <v>1832</v>
      </c>
      <c r="T26" s="11" t="s">
        <v>95</v>
      </c>
      <c r="U26" s="11" t="s">
        <v>920</v>
      </c>
      <c r="V26" s="11" t="s">
        <v>97</v>
      </c>
      <c r="W26" s="12" t="s">
        <v>1833</v>
      </c>
      <c r="X26" s="11" t="s">
        <v>141</v>
      </c>
      <c r="Y26" s="12"/>
      <c r="Z26" s="12" t="s">
        <v>1615</v>
      </c>
      <c r="AA26" s="12" t="s">
        <v>102</v>
      </c>
      <c r="AB26" s="12"/>
      <c r="AC26" s="12"/>
      <c r="AD26" s="12" t="s">
        <v>1834</v>
      </c>
      <c r="AE26" s="12" t="s">
        <v>127</v>
      </c>
      <c r="AF26" s="12" t="s">
        <v>1835</v>
      </c>
      <c r="AG26" s="12"/>
    </row>
    <row r="27" customFormat="false" ht="60" hidden="false" customHeight="true" outlineLevel="0" collapsed="false">
      <c r="A27" s="23" t="s">
        <v>1611</v>
      </c>
      <c r="B27" s="16" t="n">
        <v>5</v>
      </c>
      <c r="C27" s="12" t="s">
        <v>13</v>
      </c>
      <c r="D27" s="11" t="s">
        <v>80</v>
      </c>
      <c r="E27" s="12" t="s">
        <v>1836</v>
      </c>
      <c r="F27" s="12" t="s">
        <v>1837</v>
      </c>
      <c r="G27" s="11"/>
      <c r="H27" s="12" t="s">
        <v>544</v>
      </c>
      <c r="I27" s="12" t="s">
        <v>86</v>
      </c>
      <c r="J27" s="24" t="s">
        <v>1613</v>
      </c>
      <c r="K27" s="11" t="s">
        <v>1614</v>
      </c>
      <c r="L27" s="11" t="s">
        <v>1615</v>
      </c>
      <c r="M27" s="12" t="s">
        <v>1616</v>
      </c>
      <c r="N27" s="12" t="s">
        <v>1838</v>
      </c>
      <c r="O27" s="15" t="s">
        <v>1839</v>
      </c>
      <c r="P27" s="11" t="s">
        <v>1619</v>
      </c>
      <c r="Q27" s="12" t="s">
        <v>1840</v>
      </c>
      <c r="R27" s="12" t="s">
        <v>1841</v>
      </c>
      <c r="S27" s="12" t="s">
        <v>1842</v>
      </c>
      <c r="T27" s="11" t="s">
        <v>95</v>
      </c>
      <c r="U27" s="11" t="s">
        <v>261</v>
      </c>
      <c r="V27" s="11" t="s">
        <v>97</v>
      </c>
      <c r="W27" s="12" t="s">
        <v>1843</v>
      </c>
      <c r="X27" s="11" t="s">
        <v>1844</v>
      </c>
      <c r="Y27" s="12"/>
      <c r="Z27" s="12" t="s">
        <v>1615</v>
      </c>
      <c r="AA27" s="12" t="s">
        <v>102</v>
      </c>
      <c r="AB27" s="12"/>
      <c r="AC27" s="12"/>
      <c r="AD27" s="12" t="s">
        <v>1845</v>
      </c>
      <c r="AE27" s="12" t="s">
        <v>106</v>
      </c>
      <c r="AF27" s="12" t="s">
        <v>1846</v>
      </c>
      <c r="AG27" s="12"/>
    </row>
    <row r="28" customFormat="false" ht="60" hidden="false" customHeight="true" outlineLevel="0" collapsed="false">
      <c r="A28" s="23" t="s">
        <v>1611</v>
      </c>
      <c r="B28" s="16" t="n">
        <v>5</v>
      </c>
      <c r="C28" s="12" t="s">
        <v>13</v>
      </c>
      <c r="D28" s="11" t="s">
        <v>80</v>
      </c>
      <c r="E28" s="12" t="s">
        <v>1847</v>
      </c>
      <c r="F28" s="12" t="s">
        <v>1848</v>
      </c>
      <c r="G28" s="11"/>
      <c r="H28" s="12" t="s">
        <v>544</v>
      </c>
      <c r="I28" s="12" t="s">
        <v>86</v>
      </c>
      <c r="J28" s="24" t="s">
        <v>1613</v>
      </c>
      <c r="K28" s="11" t="s">
        <v>1614</v>
      </c>
      <c r="L28" s="11" t="s">
        <v>1615</v>
      </c>
      <c r="M28" s="12" t="s">
        <v>1616</v>
      </c>
      <c r="N28" s="12" t="s">
        <v>1849</v>
      </c>
      <c r="O28" s="15" t="s">
        <v>1850</v>
      </c>
      <c r="P28" s="11" t="s">
        <v>1619</v>
      </c>
      <c r="Q28" s="12" t="s">
        <v>1851</v>
      </c>
      <c r="R28" s="12" t="s">
        <v>1852</v>
      </c>
      <c r="S28" s="12" t="s">
        <v>182</v>
      </c>
      <c r="T28" s="11" t="s">
        <v>183</v>
      </c>
      <c r="U28" s="11" t="s">
        <v>920</v>
      </c>
      <c r="V28" s="11" t="s">
        <v>97</v>
      </c>
      <c r="W28" s="12" t="s">
        <v>1853</v>
      </c>
      <c r="X28" s="11" t="s">
        <v>1854</v>
      </c>
      <c r="Y28" s="12"/>
      <c r="Z28" s="12" t="s">
        <v>1615</v>
      </c>
      <c r="AA28" s="12" t="s">
        <v>102</v>
      </c>
      <c r="AB28" s="12"/>
      <c r="AC28" s="12"/>
      <c r="AD28" s="12" t="s">
        <v>1855</v>
      </c>
      <c r="AE28" s="12" t="s">
        <v>596</v>
      </c>
      <c r="AF28" s="12" t="s">
        <v>1856</v>
      </c>
      <c r="AG28" s="12"/>
    </row>
    <row r="29" customFormat="false" ht="60" hidden="false" customHeight="true" outlineLevel="0" collapsed="false">
      <c r="A29" s="23" t="s">
        <v>1611</v>
      </c>
      <c r="B29" s="16" t="n">
        <v>5</v>
      </c>
      <c r="C29" s="12" t="s">
        <v>13</v>
      </c>
      <c r="D29" s="11" t="s">
        <v>80</v>
      </c>
      <c r="E29" s="12" t="s">
        <v>966</v>
      </c>
      <c r="F29" s="12" t="s">
        <v>1857</v>
      </c>
      <c r="G29" s="11"/>
      <c r="H29" s="12" t="s">
        <v>487</v>
      </c>
      <c r="I29" s="12" t="s">
        <v>134</v>
      </c>
      <c r="J29" s="24" t="s">
        <v>1613</v>
      </c>
      <c r="K29" s="11" t="s">
        <v>1614</v>
      </c>
      <c r="L29" s="11" t="s">
        <v>1615</v>
      </c>
      <c r="M29" s="12" t="s">
        <v>1616</v>
      </c>
      <c r="N29" s="12" t="s">
        <v>1858</v>
      </c>
      <c r="O29" s="15" t="s">
        <v>1859</v>
      </c>
      <c r="P29" s="11" t="s">
        <v>1619</v>
      </c>
      <c r="Q29" s="12" t="s">
        <v>970</v>
      </c>
      <c r="R29" s="12" t="s">
        <v>971</v>
      </c>
      <c r="S29" s="12" t="s">
        <v>182</v>
      </c>
      <c r="T29" s="11" t="s">
        <v>95</v>
      </c>
      <c r="U29" s="11" t="s">
        <v>878</v>
      </c>
      <c r="V29" s="11" t="s">
        <v>97</v>
      </c>
      <c r="W29" s="12" t="s">
        <v>1860</v>
      </c>
      <c r="X29" s="11" t="s">
        <v>248</v>
      </c>
      <c r="Y29" s="12"/>
      <c r="Z29" s="12" t="s">
        <v>1615</v>
      </c>
      <c r="AA29" s="12" t="s">
        <v>102</v>
      </c>
      <c r="AB29" s="12"/>
      <c r="AC29" s="12"/>
      <c r="AD29" s="12" t="s">
        <v>1861</v>
      </c>
      <c r="AE29" s="12" t="s">
        <v>106</v>
      </c>
      <c r="AF29" s="12" t="s">
        <v>1862</v>
      </c>
      <c r="AG29" s="12"/>
    </row>
    <row r="30" customFormat="false" ht="60" hidden="false" customHeight="true" outlineLevel="0" collapsed="false">
      <c r="A30" s="23" t="s">
        <v>1611</v>
      </c>
      <c r="B30" s="11" t="n">
        <v>4</v>
      </c>
      <c r="C30" s="12" t="s">
        <v>13</v>
      </c>
      <c r="D30" s="11" t="s">
        <v>80</v>
      </c>
      <c r="E30" s="12" t="s">
        <v>1863</v>
      </c>
      <c r="F30" s="12" t="s">
        <v>1864</v>
      </c>
      <c r="G30" s="11"/>
      <c r="H30" s="12" t="s">
        <v>487</v>
      </c>
      <c r="I30" s="12" t="s">
        <v>134</v>
      </c>
      <c r="J30" s="24" t="s">
        <v>1613</v>
      </c>
      <c r="K30" s="11" t="s">
        <v>1614</v>
      </c>
      <c r="L30" s="11" t="s">
        <v>1615</v>
      </c>
      <c r="M30" s="12" t="s">
        <v>1616</v>
      </c>
      <c r="N30" s="12" t="s">
        <v>1865</v>
      </c>
      <c r="O30" s="15" t="s">
        <v>1866</v>
      </c>
      <c r="P30" s="11" t="s">
        <v>1619</v>
      </c>
      <c r="Q30" s="12" t="s">
        <v>1867</v>
      </c>
      <c r="R30" s="12" t="s">
        <v>1868</v>
      </c>
      <c r="S30" s="12" t="s">
        <v>1869</v>
      </c>
      <c r="T30" s="11" t="s">
        <v>95</v>
      </c>
      <c r="U30" s="11" t="s">
        <v>1650</v>
      </c>
      <c r="V30" s="11" t="s">
        <v>97</v>
      </c>
      <c r="W30" s="12" t="s">
        <v>1870</v>
      </c>
      <c r="X30" s="11" t="s">
        <v>141</v>
      </c>
      <c r="Y30" s="12"/>
      <c r="Z30" s="12" t="s">
        <v>1615</v>
      </c>
      <c r="AA30" s="12" t="s">
        <v>102</v>
      </c>
      <c r="AB30" s="12"/>
      <c r="AC30" s="12"/>
      <c r="AD30" s="12" t="s">
        <v>1871</v>
      </c>
      <c r="AE30" s="12" t="s">
        <v>106</v>
      </c>
      <c r="AF30" s="12" t="s">
        <v>1872</v>
      </c>
      <c r="AG30" s="12"/>
    </row>
    <row r="31" customFormat="false" ht="60" hidden="false" customHeight="true" outlineLevel="0" collapsed="false">
      <c r="A31" s="23" t="s">
        <v>1611</v>
      </c>
      <c r="B31" s="11" t="n">
        <v>4</v>
      </c>
      <c r="C31" s="12" t="s">
        <v>13</v>
      </c>
      <c r="D31" s="11" t="s">
        <v>80</v>
      </c>
      <c r="E31" s="12" t="s">
        <v>1873</v>
      </c>
      <c r="F31" s="12" t="s">
        <v>1874</v>
      </c>
      <c r="G31" s="11"/>
      <c r="H31" s="12" t="s">
        <v>487</v>
      </c>
      <c r="I31" s="12" t="s">
        <v>134</v>
      </c>
      <c r="J31" s="24" t="s">
        <v>1613</v>
      </c>
      <c r="K31" s="11" t="s">
        <v>1614</v>
      </c>
      <c r="L31" s="11" t="s">
        <v>1615</v>
      </c>
      <c r="M31" s="12" t="s">
        <v>1616</v>
      </c>
      <c r="N31" s="12" t="s">
        <v>1875</v>
      </c>
      <c r="O31" s="15" t="s">
        <v>1876</v>
      </c>
      <c r="P31" s="11" t="s">
        <v>1619</v>
      </c>
      <c r="Q31" s="12" t="s">
        <v>1877</v>
      </c>
      <c r="R31" s="12" t="s">
        <v>1878</v>
      </c>
      <c r="S31" s="12" t="s">
        <v>94</v>
      </c>
      <c r="T31" s="11" t="s">
        <v>95</v>
      </c>
      <c r="U31" s="11" t="s">
        <v>1879</v>
      </c>
      <c r="V31" s="11" t="s">
        <v>97</v>
      </c>
      <c r="W31" s="12" t="s">
        <v>1880</v>
      </c>
      <c r="X31" s="11" t="s">
        <v>1881</v>
      </c>
      <c r="Y31" s="12"/>
      <c r="Z31" s="12" t="s">
        <v>1615</v>
      </c>
      <c r="AA31" s="12" t="s">
        <v>102</v>
      </c>
      <c r="AB31" s="12"/>
      <c r="AC31" s="12"/>
      <c r="AD31" s="12" t="s">
        <v>1882</v>
      </c>
      <c r="AE31" s="12" t="s">
        <v>106</v>
      </c>
      <c r="AF31" s="12" t="s">
        <v>1883</v>
      </c>
      <c r="AG31" s="12"/>
    </row>
    <row r="32" customFormat="false" ht="60" hidden="false" customHeight="true" outlineLevel="0" collapsed="false">
      <c r="A32" s="10" t="s">
        <v>79</v>
      </c>
      <c r="B32" s="11" t="n">
        <v>4</v>
      </c>
      <c r="C32" s="12" t="s">
        <v>13</v>
      </c>
      <c r="D32" s="11" t="s">
        <v>80</v>
      </c>
      <c r="E32" s="12" t="s">
        <v>81</v>
      </c>
      <c r="F32" s="12" t="s">
        <v>82</v>
      </c>
      <c r="G32" s="13" t="n">
        <v>46310</v>
      </c>
      <c r="H32" s="12" t="s">
        <v>83</v>
      </c>
      <c r="I32" s="12" t="s">
        <v>84</v>
      </c>
      <c r="J32" s="14" t="s">
        <v>85</v>
      </c>
      <c r="K32" s="11" t="s">
        <v>86</v>
      </c>
      <c r="L32" s="11" t="s">
        <v>87</v>
      </c>
      <c r="M32" s="12" t="s">
        <v>88</v>
      </c>
      <c r="N32" s="12" t="s">
        <v>89</v>
      </c>
      <c r="O32" s="15" t="s">
        <v>90</v>
      </c>
      <c r="P32" s="11" t="s">
        <v>91</v>
      </c>
      <c r="Q32" s="12" t="s">
        <v>92</v>
      </c>
      <c r="R32" s="12" t="s">
        <v>93</v>
      </c>
      <c r="S32" s="12" t="s">
        <v>94</v>
      </c>
      <c r="T32" s="11" t="s">
        <v>95</v>
      </c>
      <c r="U32" s="11" t="s">
        <v>96</v>
      </c>
      <c r="V32" s="11" t="s">
        <v>97</v>
      </c>
      <c r="W32" s="12" t="s">
        <v>98</v>
      </c>
      <c r="X32" s="11" t="s">
        <v>99</v>
      </c>
      <c r="Y32" s="12" t="s">
        <v>100</v>
      </c>
      <c r="Z32" s="12" t="s">
        <v>101</v>
      </c>
      <c r="AA32" s="12" t="s">
        <v>102</v>
      </c>
      <c r="AB32" s="12" t="s">
        <v>103</v>
      </c>
      <c r="AC32" s="12" t="s">
        <v>104</v>
      </c>
      <c r="AD32" s="12" t="s">
        <v>105</v>
      </c>
      <c r="AE32" s="12" t="s">
        <v>106</v>
      </c>
      <c r="AF32" s="12" t="s">
        <v>107</v>
      </c>
      <c r="AG32" s="12" t="s">
        <v>108</v>
      </c>
    </row>
    <row r="33" customFormat="false" ht="60" hidden="false" customHeight="true" outlineLevel="0" collapsed="false">
      <c r="A33" s="10" t="s">
        <v>79</v>
      </c>
      <c r="B33" s="11" t="n">
        <v>4</v>
      </c>
      <c r="C33" s="12" t="s">
        <v>109</v>
      </c>
      <c r="D33" s="11" t="s">
        <v>110</v>
      </c>
      <c r="E33" s="12" t="s">
        <v>111</v>
      </c>
      <c r="F33" s="12" t="s">
        <v>112</v>
      </c>
      <c r="G33" s="13" t="n">
        <v>46310</v>
      </c>
      <c r="H33" s="12" t="s">
        <v>83</v>
      </c>
      <c r="I33" s="12" t="s">
        <v>84</v>
      </c>
      <c r="J33" s="14" t="s">
        <v>113</v>
      </c>
      <c r="K33" s="11" t="s">
        <v>86</v>
      </c>
      <c r="L33" s="11" t="s">
        <v>114</v>
      </c>
      <c r="M33" s="12" t="s">
        <v>88</v>
      </c>
      <c r="N33" s="12" t="s">
        <v>115</v>
      </c>
      <c r="O33" s="15" t="s">
        <v>116</v>
      </c>
      <c r="P33" s="11" t="s">
        <v>91</v>
      </c>
      <c r="Q33" s="12" t="s">
        <v>117</v>
      </c>
      <c r="R33" s="12" t="s">
        <v>118</v>
      </c>
      <c r="S33" s="12" t="s">
        <v>119</v>
      </c>
      <c r="T33" s="11" t="s">
        <v>95</v>
      </c>
      <c r="U33" s="11" t="s">
        <v>120</v>
      </c>
      <c r="V33" s="11" t="s">
        <v>121</v>
      </c>
      <c r="W33" s="12" t="s">
        <v>122</v>
      </c>
      <c r="X33" s="11" t="s">
        <v>99</v>
      </c>
      <c r="Y33" s="12" t="s">
        <v>123</v>
      </c>
      <c r="Z33" s="12" t="s">
        <v>101</v>
      </c>
      <c r="AA33" s="12" t="s">
        <v>102</v>
      </c>
      <c r="AB33" s="12" t="s">
        <v>124</v>
      </c>
      <c r="AC33" s="12" t="s">
        <v>125</v>
      </c>
      <c r="AD33" s="12" t="s">
        <v>126</v>
      </c>
      <c r="AE33" s="12" t="s">
        <v>127</v>
      </c>
      <c r="AF33" s="12" t="s">
        <v>128</v>
      </c>
      <c r="AG33" s="12" t="s">
        <v>129</v>
      </c>
    </row>
    <row r="34" customFormat="false" ht="60" hidden="false" customHeight="true" outlineLevel="0" collapsed="false">
      <c r="A34" s="10" t="s">
        <v>130</v>
      </c>
      <c r="B34" s="16" t="n">
        <v>5</v>
      </c>
      <c r="C34" s="12" t="s">
        <v>13</v>
      </c>
      <c r="D34" s="11" t="s">
        <v>80</v>
      </c>
      <c r="E34" s="12" t="s">
        <v>131</v>
      </c>
      <c r="F34" s="12" t="s">
        <v>132</v>
      </c>
      <c r="G34" s="13" t="n">
        <v>46312</v>
      </c>
      <c r="H34" s="12" t="s">
        <v>133</v>
      </c>
      <c r="I34" s="12" t="s">
        <v>134</v>
      </c>
      <c r="J34" s="14" t="s">
        <v>85</v>
      </c>
      <c r="K34" s="11" t="s">
        <v>86</v>
      </c>
      <c r="L34" s="11" t="s">
        <v>87</v>
      </c>
      <c r="M34" s="12" t="s">
        <v>88</v>
      </c>
      <c r="N34" s="12" t="s">
        <v>89</v>
      </c>
      <c r="O34" s="15" t="s">
        <v>135</v>
      </c>
      <c r="P34" s="11" t="s">
        <v>136</v>
      </c>
      <c r="Q34" s="12" t="s">
        <v>137</v>
      </c>
      <c r="R34" s="12" t="s">
        <v>138</v>
      </c>
      <c r="S34" s="12" t="s">
        <v>94</v>
      </c>
      <c r="T34" s="11" t="s">
        <v>95</v>
      </c>
      <c r="U34" s="11" t="s">
        <v>139</v>
      </c>
      <c r="V34" s="11" t="s">
        <v>97</v>
      </c>
      <c r="W34" s="12" t="s">
        <v>140</v>
      </c>
      <c r="X34" s="11" t="s">
        <v>141</v>
      </c>
      <c r="Y34" s="12" t="s">
        <v>142</v>
      </c>
      <c r="Z34" s="12" t="s">
        <v>101</v>
      </c>
      <c r="AA34" s="12" t="s">
        <v>102</v>
      </c>
      <c r="AB34" s="12" t="s">
        <v>143</v>
      </c>
      <c r="AC34" s="12" t="s">
        <v>144</v>
      </c>
      <c r="AD34" s="12" t="s">
        <v>145</v>
      </c>
      <c r="AE34" s="12" t="s">
        <v>106</v>
      </c>
      <c r="AF34" s="12" t="s">
        <v>146</v>
      </c>
      <c r="AG34" s="12" t="s">
        <v>147</v>
      </c>
    </row>
    <row r="35" customFormat="false" ht="60" hidden="false" customHeight="true" outlineLevel="0" collapsed="false">
      <c r="A35" s="10" t="s">
        <v>79</v>
      </c>
      <c r="B35" s="16" t="n">
        <v>5</v>
      </c>
      <c r="C35" s="12" t="s">
        <v>13</v>
      </c>
      <c r="D35" s="11" t="s">
        <v>80</v>
      </c>
      <c r="E35" s="12" t="s">
        <v>131</v>
      </c>
      <c r="F35" s="12" t="s">
        <v>148</v>
      </c>
      <c r="G35" s="13" t="n">
        <v>46312</v>
      </c>
      <c r="H35" s="12" t="s">
        <v>83</v>
      </c>
      <c r="I35" s="12" t="s">
        <v>149</v>
      </c>
      <c r="J35" s="14" t="s">
        <v>85</v>
      </c>
      <c r="K35" s="11" t="s">
        <v>86</v>
      </c>
      <c r="L35" s="11" t="s">
        <v>87</v>
      </c>
      <c r="M35" s="12" t="s">
        <v>88</v>
      </c>
      <c r="N35" s="12" t="s">
        <v>89</v>
      </c>
      <c r="O35" s="15" t="s">
        <v>150</v>
      </c>
      <c r="P35" s="11" t="s">
        <v>136</v>
      </c>
      <c r="Q35" s="12" t="s">
        <v>151</v>
      </c>
      <c r="R35" s="12" t="s">
        <v>138</v>
      </c>
      <c r="S35" s="12" t="s">
        <v>152</v>
      </c>
      <c r="T35" s="11" t="s">
        <v>95</v>
      </c>
      <c r="U35" s="11" t="s">
        <v>139</v>
      </c>
      <c r="V35" s="11" t="s">
        <v>97</v>
      </c>
      <c r="W35" s="12" t="s">
        <v>153</v>
      </c>
      <c r="X35" s="11" t="s">
        <v>154</v>
      </c>
      <c r="Y35" s="12" t="s">
        <v>155</v>
      </c>
      <c r="Z35" s="12" t="s">
        <v>101</v>
      </c>
      <c r="AA35" s="12" t="s">
        <v>102</v>
      </c>
      <c r="AB35" s="12" t="s">
        <v>156</v>
      </c>
      <c r="AC35" s="12" t="s">
        <v>157</v>
      </c>
      <c r="AD35" s="12" t="s">
        <v>158</v>
      </c>
      <c r="AE35" s="12" t="s">
        <v>106</v>
      </c>
      <c r="AF35" s="12" t="s">
        <v>159</v>
      </c>
      <c r="AG35" s="12" t="s">
        <v>160</v>
      </c>
    </row>
    <row r="36" customFormat="false" ht="60" hidden="false" customHeight="true" outlineLevel="0" collapsed="false">
      <c r="A36" s="17" t="s">
        <v>161</v>
      </c>
      <c r="B36" s="11" t="n">
        <v>4</v>
      </c>
      <c r="C36" s="12" t="s">
        <v>13</v>
      </c>
      <c r="D36" s="11" t="s">
        <v>80</v>
      </c>
      <c r="E36" s="12" t="s">
        <v>162</v>
      </c>
      <c r="F36" s="12" t="s">
        <v>163</v>
      </c>
      <c r="G36" s="13" t="n">
        <v>46262</v>
      </c>
      <c r="H36" s="12" t="s">
        <v>133</v>
      </c>
      <c r="I36" s="12" t="s">
        <v>134</v>
      </c>
      <c r="J36" s="14" t="s">
        <v>85</v>
      </c>
      <c r="K36" s="11" t="s">
        <v>86</v>
      </c>
      <c r="L36" s="11" t="s">
        <v>87</v>
      </c>
      <c r="M36" s="12" t="s">
        <v>88</v>
      </c>
      <c r="N36" s="12" t="s">
        <v>89</v>
      </c>
      <c r="O36" s="15" t="s">
        <v>164</v>
      </c>
      <c r="P36" s="11" t="s">
        <v>136</v>
      </c>
      <c r="Q36" s="12" t="s">
        <v>165</v>
      </c>
      <c r="R36" s="12" t="s">
        <v>166</v>
      </c>
      <c r="S36" s="12" t="s">
        <v>167</v>
      </c>
      <c r="T36" s="11" t="s">
        <v>95</v>
      </c>
      <c r="U36" s="11" t="s">
        <v>168</v>
      </c>
      <c r="V36" s="11" t="s">
        <v>97</v>
      </c>
      <c r="W36" s="12" t="s">
        <v>169</v>
      </c>
      <c r="X36" s="11" t="s">
        <v>141</v>
      </c>
      <c r="Y36" s="12" t="s">
        <v>170</v>
      </c>
      <c r="Z36" s="12" t="s">
        <v>101</v>
      </c>
      <c r="AA36" s="12" t="s">
        <v>102</v>
      </c>
      <c r="AB36" s="12" t="s">
        <v>171</v>
      </c>
      <c r="AC36" s="12" t="s">
        <v>172</v>
      </c>
      <c r="AD36" s="12" t="s">
        <v>173</v>
      </c>
      <c r="AE36" s="12" t="s">
        <v>106</v>
      </c>
      <c r="AF36" s="12" t="s">
        <v>174</v>
      </c>
      <c r="AG36" s="12" t="s">
        <v>175</v>
      </c>
    </row>
    <row r="37" customFormat="false" ht="60" hidden="false" customHeight="true" outlineLevel="0" collapsed="false">
      <c r="A37" s="17" t="s">
        <v>161</v>
      </c>
      <c r="B37" s="16" t="n">
        <v>5</v>
      </c>
      <c r="C37" s="12" t="s">
        <v>13</v>
      </c>
      <c r="D37" s="11" t="s">
        <v>80</v>
      </c>
      <c r="E37" s="12" t="s">
        <v>176</v>
      </c>
      <c r="F37" s="12" t="s">
        <v>177</v>
      </c>
      <c r="G37" s="13" t="n">
        <v>46266</v>
      </c>
      <c r="H37" s="12" t="s">
        <v>133</v>
      </c>
      <c r="I37" s="12" t="s">
        <v>134</v>
      </c>
      <c r="J37" s="14" t="s">
        <v>85</v>
      </c>
      <c r="K37" s="11" t="s">
        <v>86</v>
      </c>
      <c r="L37" s="11" t="s">
        <v>87</v>
      </c>
      <c r="M37" s="12" t="s">
        <v>88</v>
      </c>
      <c r="N37" s="12" t="s">
        <v>178</v>
      </c>
      <c r="O37" s="15" t="s">
        <v>179</v>
      </c>
      <c r="P37" s="11" t="s">
        <v>136</v>
      </c>
      <c r="Q37" s="12" t="s">
        <v>180</v>
      </c>
      <c r="R37" s="12" t="s">
        <v>181</v>
      </c>
      <c r="S37" s="12" t="s">
        <v>182</v>
      </c>
      <c r="T37" s="11" t="s">
        <v>183</v>
      </c>
      <c r="U37" s="11" t="s">
        <v>184</v>
      </c>
      <c r="V37" s="11" t="s">
        <v>97</v>
      </c>
      <c r="W37" s="12" t="s">
        <v>185</v>
      </c>
      <c r="X37" s="11" t="s">
        <v>141</v>
      </c>
      <c r="Y37" s="12" t="s">
        <v>186</v>
      </c>
      <c r="Z37" s="12" t="s">
        <v>101</v>
      </c>
      <c r="AA37" s="12" t="s">
        <v>102</v>
      </c>
      <c r="AB37" s="12" t="s">
        <v>187</v>
      </c>
      <c r="AC37" s="12" t="s">
        <v>188</v>
      </c>
      <c r="AD37" s="12" t="s">
        <v>189</v>
      </c>
      <c r="AE37" s="12" t="s">
        <v>106</v>
      </c>
      <c r="AF37" s="12" t="s">
        <v>190</v>
      </c>
      <c r="AG37" s="12" t="s">
        <v>191</v>
      </c>
    </row>
    <row r="38" customFormat="false" ht="60" hidden="false" customHeight="true" outlineLevel="0" collapsed="false">
      <c r="A38" s="17" t="s">
        <v>161</v>
      </c>
      <c r="B38" s="16" t="n">
        <v>5</v>
      </c>
      <c r="C38" s="12" t="s">
        <v>13</v>
      </c>
      <c r="D38" s="11" t="s">
        <v>80</v>
      </c>
      <c r="E38" s="12" t="s">
        <v>192</v>
      </c>
      <c r="F38" s="12" t="s">
        <v>193</v>
      </c>
      <c r="G38" s="13" t="n">
        <v>46275</v>
      </c>
      <c r="H38" s="12" t="s">
        <v>133</v>
      </c>
      <c r="I38" s="12" t="s">
        <v>134</v>
      </c>
      <c r="J38" s="14" t="s">
        <v>85</v>
      </c>
      <c r="K38" s="11" t="s">
        <v>86</v>
      </c>
      <c r="L38" s="11" t="s">
        <v>87</v>
      </c>
      <c r="M38" s="12" t="s">
        <v>88</v>
      </c>
      <c r="N38" s="12" t="s">
        <v>89</v>
      </c>
      <c r="O38" s="15" t="s">
        <v>194</v>
      </c>
      <c r="P38" s="11" t="s">
        <v>136</v>
      </c>
      <c r="Q38" s="12" t="s">
        <v>195</v>
      </c>
      <c r="R38" s="12" t="s">
        <v>196</v>
      </c>
      <c r="S38" s="12" t="s">
        <v>197</v>
      </c>
      <c r="T38" s="11" t="s">
        <v>95</v>
      </c>
      <c r="U38" s="11" t="s">
        <v>198</v>
      </c>
      <c r="V38" s="11" t="s">
        <v>97</v>
      </c>
      <c r="W38" s="12" t="s">
        <v>199</v>
      </c>
      <c r="X38" s="11" t="s">
        <v>141</v>
      </c>
      <c r="Y38" s="12" t="s">
        <v>200</v>
      </c>
      <c r="Z38" s="12" t="s">
        <v>101</v>
      </c>
      <c r="AA38" s="12" t="s">
        <v>102</v>
      </c>
      <c r="AB38" s="12" t="s">
        <v>201</v>
      </c>
      <c r="AC38" s="12" t="s">
        <v>202</v>
      </c>
      <c r="AD38" s="12" t="s">
        <v>203</v>
      </c>
      <c r="AE38" s="12" t="s">
        <v>106</v>
      </c>
      <c r="AF38" s="12" t="s">
        <v>204</v>
      </c>
      <c r="AG38" s="12" t="s">
        <v>205</v>
      </c>
    </row>
    <row r="39" customFormat="false" ht="60" hidden="false" customHeight="true" outlineLevel="0" collapsed="false">
      <c r="A39" s="17" t="s">
        <v>161</v>
      </c>
      <c r="B39" s="16" t="n">
        <v>5</v>
      </c>
      <c r="C39" s="12" t="s">
        <v>13</v>
      </c>
      <c r="D39" s="11" t="s">
        <v>80</v>
      </c>
      <c r="E39" s="12" t="s">
        <v>206</v>
      </c>
      <c r="F39" s="12" t="s">
        <v>207</v>
      </c>
      <c r="G39" s="13" t="n">
        <v>46288</v>
      </c>
      <c r="H39" s="12" t="s">
        <v>133</v>
      </c>
      <c r="I39" s="12" t="s">
        <v>134</v>
      </c>
      <c r="J39" s="14" t="s">
        <v>208</v>
      </c>
      <c r="K39" s="11" t="s">
        <v>209</v>
      </c>
      <c r="L39" s="11" t="s">
        <v>87</v>
      </c>
      <c r="M39" s="12" t="s">
        <v>88</v>
      </c>
      <c r="N39" s="12" t="s">
        <v>89</v>
      </c>
      <c r="O39" s="15" t="s">
        <v>210</v>
      </c>
      <c r="P39" s="11" t="s">
        <v>91</v>
      </c>
      <c r="Q39" s="12" t="s">
        <v>211</v>
      </c>
      <c r="R39" s="12" t="s">
        <v>212</v>
      </c>
      <c r="S39" s="12" t="s">
        <v>94</v>
      </c>
      <c r="T39" s="11" t="s">
        <v>95</v>
      </c>
      <c r="U39" s="11" t="s">
        <v>213</v>
      </c>
      <c r="V39" s="11" t="s">
        <v>97</v>
      </c>
      <c r="W39" s="12" t="s">
        <v>214</v>
      </c>
      <c r="X39" s="11" t="s">
        <v>215</v>
      </c>
      <c r="Y39" s="12" t="s">
        <v>216</v>
      </c>
      <c r="Z39" s="12" t="s">
        <v>101</v>
      </c>
      <c r="AA39" s="12" t="s">
        <v>102</v>
      </c>
      <c r="AB39" s="12" t="s">
        <v>217</v>
      </c>
      <c r="AC39" s="12" t="s">
        <v>218</v>
      </c>
      <c r="AD39" s="12" t="s">
        <v>219</v>
      </c>
      <c r="AE39" s="12" t="s">
        <v>106</v>
      </c>
      <c r="AF39" s="12" t="s">
        <v>220</v>
      </c>
      <c r="AG39" s="12" t="s">
        <v>221</v>
      </c>
    </row>
    <row r="40" customFormat="false" ht="60" hidden="false" customHeight="true" outlineLevel="0" collapsed="false">
      <c r="A40" s="17" t="s">
        <v>161</v>
      </c>
      <c r="B40" s="16" t="n">
        <v>5</v>
      </c>
      <c r="C40" s="12" t="s">
        <v>13</v>
      </c>
      <c r="D40" s="11" t="s">
        <v>80</v>
      </c>
      <c r="E40" s="12" t="s">
        <v>222</v>
      </c>
      <c r="F40" s="12" t="s">
        <v>223</v>
      </c>
      <c r="G40" s="13" t="n">
        <v>46292</v>
      </c>
      <c r="H40" s="12" t="s">
        <v>133</v>
      </c>
      <c r="I40" s="12" t="s">
        <v>134</v>
      </c>
      <c r="J40" s="14" t="s">
        <v>85</v>
      </c>
      <c r="K40" s="11" t="s">
        <v>86</v>
      </c>
      <c r="L40" s="11" t="s">
        <v>87</v>
      </c>
      <c r="M40" s="12" t="s">
        <v>88</v>
      </c>
      <c r="N40" s="12" t="s">
        <v>224</v>
      </c>
      <c r="O40" s="15" t="s">
        <v>225</v>
      </c>
      <c r="P40" s="11" t="s">
        <v>136</v>
      </c>
      <c r="Q40" s="12" t="s">
        <v>226</v>
      </c>
      <c r="R40" s="12" t="s">
        <v>227</v>
      </c>
      <c r="S40" s="12" t="s">
        <v>182</v>
      </c>
      <c r="T40" s="11" t="s">
        <v>183</v>
      </c>
      <c r="U40" s="11" t="s">
        <v>228</v>
      </c>
      <c r="V40" s="11" t="s">
        <v>97</v>
      </c>
      <c r="W40" s="12" t="s">
        <v>229</v>
      </c>
      <c r="X40" s="11" t="s">
        <v>230</v>
      </c>
      <c r="Y40" s="12" t="s">
        <v>231</v>
      </c>
      <c r="Z40" s="12" t="s">
        <v>101</v>
      </c>
      <c r="AA40" s="12" t="s">
        <v>102</v>
      </c>
      <c r="AB40" s="12" t="s">
        <v>232</v>
      </c>
      <c r="AC40" s="12" t="s">
        <v>233</v>
      </c>
      <c r="AD40" s="12" t="s">
        <v>234</v>
      </c>
      <c r="AE40" s="12" t="s">
        <v>106</v>
      </c>
      <c r="AF40" s="12" t="s">
        <v>235</v>
      </c>
      <c r="AG40" s="12" t="s">
        <v>236</v>
      </c>
    </row>
    <row r="41" customFormat="false" ht="60" hidden="false" customHeight="true" outlineLevel="0" collapsed="false">
      <c r="A41" s="17" t="s">
        <v>161</v>
      </c>
      <c r="B41" s="16" t="n">
        <v>5</v>
      </c>
      <c r="C41" s="12" t="s">
        <v>237</v>
      </c>
      <c r="D41" s="11" t="s">
        <v>110</v>
      </c>
      <c r="E41" s="12" t="s">
        <v>238</v>
      </c>
      <c r="F41" s="12" t="s">
        <v>239</v>
      </c>
      <c r="G41" s="13" t="n">
        <v>46296</v>
      </c>
      <c r="H41" s="12" t="s">
        <v>133</v>
      </c>
      <c r="I41" s="12" t="s">
        <v>134</v>
      </c>
      <c r="J41" s="14" t="s">
        <v>240</v>
      </c>
      <c r="K41" s="11" t="s">
        <v>86</v>
      </c>
      <c r="L41" s="11" t="s">
        <v>87</v>
      </c>
      <c r="M41" s="12" t="s">
        <v>88</v>
      </c>
      <c r="N41" s="12" t="s">
        <v>241</v>
      </c>
      <c r="O41" s="15" t="s">
        <v>242</v>
      </c>
      <c r="P41" s="11" t="s">
        <v>136</v>
      </c>
      <c r="Q41" s="12" t="s">
        <v>243</v>
      </c>
      <c r="R41" s="12" t="s">
        <v>244</v>
      </c>
      <c r="S41" s="12" t="s">
        <v>245</v>
      </c>
      <c r="T41" s="11" t="s">
        <v>95</v>
      </c>
      <c r="U41" s="11" t="s">
        <v>246</v>
      </c>
      <c r="V41" s="11" t="s">
        <v>97</v>
      </c>
      <c r="W41" s="12" t="s">
        <v>247</v>
      </c>
      <c r="X41" s="11" t="s">
        <v>248</v>
      </c>
      <c r="Y41" s="12" t="s">
        <v>249</v>
      </c>
      <c r="Z41" s="12" t="s">
        <v>101</v>
      </c>
      <c r="AA41" s="12" t="s">
        <v>102</v>
      </c>
      <c r="AB41" s="12" t="s">
        <v>250</v>
      </c>
      <c r="AC41" s="12" t="s">
        <v>251</v>
      </c>
      <c r="AD41" s="12" t="s">
        <v>252</v>
      </c>
      <c r="AE41" s="12" t="s">
        <v>127</v>
      </c>
      <c r="AF41" s="12" t="s">
        <v>253</v>
      </c>
      <c r="AG41" s="12" t="s">
        <v>254</v>
      </c>
    </row>
    <row r="42" customFormat="false" ht="60" hidden="false" customHeight="true" outlineLevel="0" collapsed="false">
      <c r="A42" s="17" t="s">
        <v>161</v>
      </c>
      <c r="B42" s="16" t="n">
        <v>5</v>
      </c>
      <c r="C42" s="12" t="s">
        <v>109</v>
      </c>
      <c r="D42" s="11" t="s">
        <v>110</v>
      </c>
      <c r="E42" s="12" t="s">
        <v>255</v>
      </c>
      <c r="F42" s="12" t="s">
        <v>256</v>
      </c>
      <c r="G42" s="13" t="n">
        <v>46296</v>
      </c>
      <c r="H42" s="12" t="s">
        <v>133</v>
      </c>
      <c r="I42" s="12" t="s">
        <v>134</v>
      </c>
      <c r="J42" s="14" t="s">
        <v>85</v>
      </c>
      <c r="K42" s="11" t="s">
        <v>86</v>
      </c>
      <c r="L42" s="11" t="s">
        <v>87</v>
      </c>
      <c r="M42" s="12" t="s">
        <v>88</v>
      </c>
      <c r="N42" s="12" t="s">
        <v>89</v>
      </c>
      <c r="O42" s="15" t="s">
        <v>257</v>
      </c>
      <c r="P42" s="11" t="s">
        <v>136</v>
      </c>
      <c r="Q42" s="12" t="s">
        <v>258</v>
      </c>
      <c r="R42" s="12" t="s">
        <v>259</v>
      </c>
      <c r="S42" s="12" t="s">
        <v>260</v>
      </c>
      <c r="T42" s="11" t="s">
        <v>95</v>
      </c>
      <c r="U42" s="11" t="s">
        <v>261</v>
      </c>
      <c r="V42" s="11" t="s">
        <v>97</v>
      </c>
      <c r="W42" s="12" t="s">
        <v>262</v>
      </c>
      <c r="X42" s="11" t="s">
        <v>141</v>
      </c>
      <c r="Y42" s="12" t="s">
        <v>263</v>
      </c>
      <c r="Z42" s="12" t="s">
        <v>101</v>
      </c>
      <c r="AA42" s="12" t="s">
        <v>102</v>
      </c>
      <c r="AB42" s="12" t="s">
        <v>264</v>
      </c>
      <c r="AC42" s="12" t="s">
        <v>265</v>
      </c>
      <c r="AD42" s="12" t="s">
        <v>266</v>
      </c>
      <c r="AE42" s="12" t="s">
        <v>127</v>
      </c>
      <c r="AF42" s="12" t="s">
        <v>267</v>
      </c>
      <c r="AG42" s="12" t="s">
        <v>268</v>
      </c>
    </row>
    <row r="43" customFormat="false" ht="60" hidden="false" customHeight="true" outlineLevel="0" collapsed="false">
      <c r="A43" s="17" t="s">
        <v>161</v>
      </c>
      <c r="B43" s="11" t="n">
        <v>4</v>
      </c>
      <c r="C43" s="12" t="s">
        <v>13</v>
      </c>
      <c r="D43" s="11" t="s">
        <v>80</v>
      </c>
      <c r="E43" s="12" t="s">
        <v>255</v>
      </c>
      <c r="F43" s="12" t="s">
        <v>269</v>
      </c>
      <c r="G43" s="13" t="n">
        <v>46296</v>
      </c>
      <c r="H43" s="12" t="s">
        <v>133</v>
      </c>
      <c r="I43" s="12" t="s">
        <v>134</v>
      </c>
      <c r="J43" s="14" t="s">
        <v>85</v>
      </c>
      <c r="K43" s="11" t="s">
        <v>86</v>
      </c>
      <c r="L43" s="11" t="s">
        <v>87</v>
      </c>
      <c r="M43" s="12" t="s">
        <v>88</v>
      </c>
      <c r="N43" s="12" t="s">
        <v>89</v>
      </c>
      <c r="O43" s="15" t="s">
        <v>270</v>
      </c>
      <c r="P43" s="11" t="s">
        <v>136</v>
      </c>
      <c r="Q43" s="12" t="s">
        <v>258</v>
      </c>
      <c r="R43" s="12" t="s">
        <v>259</v>
      </c>
      <c r="S43" s="12" t="s">
        <v>271</v>
      </c>
      <c r="T43" s="11" t="s">
        <v>95</v>
      </c>
      <c r="U43" s="11" t="s">
        <v>261</v>
      </c>
      <c r="V43" s="11" t="s">
        <v>97</v>
      </c>
      <c r="W43" s="12" t="s">
        <v>272</v>
      </c>
      <c r="X43" s="11" t="s">
        <v>248</v>
      </c>
      <c r="Y43" s="12" t="s">
        <v>273</v>
      </c>
      <c r="Z43" s="12" t="s">
        <v>101</v>
      </c>
      <c r="AA43" s="12" t="s">
        <v>102</v>
      </c>
      <c r="AB43" s="12" t="s">
        <v>274</v>
      </c>
      <c r="AC43" s="12" t="s">
        <v>275</v>
      </c>
      <c r="AD43" s="12" t="s">
        <v>276</v>
      </c>
      <c r="AE43" s="12" t="s">
        <v>106</v>
      </c>
      <c r="AF43" s="12" t="s">
        <v>277</v>
      </c>
      <c r="AG43" s="12" t="s">
        <v>278</v>
      </c>
    </row>
    <row r="44" customFormat="false" ht="60" hidden="false" customHeight="true" outlineLevel="0" collapsed="false">
      <c r="A44" s="17" t="s">
        <v>279</v>
      </c>
      <c r="B44" s="11" t="n">
        <v>4</v>
      </c>
      <c r="C44" s="12" t="s">
        <v>237</v>
      </c>
      <c r="D44" s="11" t="s">
        <v>110</v>
      </c>
      <c r="E44" s="12" t="s">
        <v>280</v>
      </c>
      <c r="F44" s="12" t="s">
        <v>281</v>
      </c>
      <c r="G44" s="13" t="n">
        <v>46444</v>
      </c>
      <c r="H44" s="12" t="s">
        <v>282</v>
      </c>
      <c r="I44" s="12" t="s">
        <v>283</v>
      </c>
      <c r="J44" s="14" t="s">
        <v>113</v>
      </c>
      <c r="K44" s="11" t="s">
        <v>86</v>
      </c>
      <c r="L44" s="11" t="s">
        <v>114</v>
      </c>
      <c r="M44" s="12" t="s">
        <v>284</v>
      </c>
      <c r="N44" s="12" t="s">
        <v>89</v>
      </c>
      <c r="O44" s="15" t="s">
        <v>285</v>
      </c>
      <c r="P44" s="11" t="s">
        <v>91</v>
      </c>
      <c r="Q44" s="12" t="s">
        <v>286</v>
      </c>
      <c r="R44" s="12" t="s">
        <v>287</v>
      </c>
      <c r="S44" s="12" t="s">
        <v>288</v>
      </c>
      <c r="T44" s="11" t="s">
        <v>95</v>
      </c>
      <c r="U44" s="11" t="s">
        <v>96</v>
      </c>
      <c r="V44" s="11" t="s">
        <v>97</v>
      </c>
      <c r="W44" s="12" t="s">
        <v>289</v>
      </c>
      <c r="X44" s="11" t="s">
        <v>290</v>
      </c>
      <c r="Y44" s="12" t="s">
        <v>291</v>
      </c>
      <c r="Z44" s="12" t="s">
        <v>101</v>
      </c>
      <c r="AA44" s="12" t="s">
        <v>102</v>
      </c>
      <c r="AB44" s="12" t="s">
        <v>292</v>
      </c>
      <c r="AC44" s="12" t="s">
        <v>293</v>
      </c>
      <c r="AD44" s="12" t="s">
        <v>294</v>
      </c>
      <c r="AE44" s="12" t="s">
        <v>106</v>
      </c>
      <c r="AF44" s="12" t="s">
        <v>295</v>
      </c>
      <c r="AG44" s="12" t="s">
        <v>296</v>
      </c>
    </row>
    <row r="45" customFormat="false" ht="60" hidden="false" customHeight="true" outlineLevel="0" collapsed="false">
      <c r="A45" s="17" t="s">
        <v>279</v>
      </c>
      <c r="B45" s="16" t="n">
        <v>5</v>
      </c>
      <c r="C45" s="12" t="s">
        <v>297</v>
      </c>
      <c r="D45" s="11" t="s">
        <v>110</v>
      </c>
      <c r="E45" s="12" t="s">
        <v>298</v>
      </c>
      <c r="F45" s="12" t="s">
        <v>299</v>
      </c>
      <c r="G45" s="13" t="n">
        <v>46446</v>
      </c>
      <c r="H45" s="12" t="s">
        <v>282</v>
      </c>
      <c r="I45" s="12" t="s">
        <v>300</v>
      </c>
      <c r="J45" s="14" t="s">
        <v>85</v>
      </c>
      <c r="K45" s="11" t="s">
        <v>86</v>
      </c>
      <c r="L45" s="11" t="s">
        <v>87</v>
      </c>
      <c r="M45" s="12" t="s">
        <v>301</v>
      </c>
      <c r="N45" s="12" t="s">
        <v>89</v>
      </c>
      <c r="O45" s="15" t="s">
        <v>302</v>
      </c>
      <c r="P45" s="11" t="s">
        <v>136</v>
      </c>
      <c r="Q45" s="12" t="s">
        <v>303</v>
      </c>
      <c r="R45" s="12" t="s">
        <v>304</v>
      </c>
      <c r="S45" s="12" t="s">
        <v>305</v>
      </c>
      <c r="T45" s="11" t="s">
        <v>95</v>
      </c>
      <c r="U45" s="11" t="s">
        <v>306</v>
      </c>
      <c r="V45" s="11" t="s">
        <v>97</v>
      </c>
      <c r="W45" s="12" t="s">
        <v>307</v>
      </c>
      <c r="X45" s="11" t="s">
        <v>308</v>
      </c>
      <c r="Y45" s="12" t="s">
        <v>309</v>
      </c>
      <c r="Z45" s="12" t="s">
        <v>101</v>
      </c>
      <c r="AA45" s="12" t="s">
        <v>310</v>
      </c>
      <c r="AB45" s="12" t="s">
        <v>311</v>
      </c>
      <c r="AC45" s="12" t="s">
        <v>312</v>
      </c>
      <c r="AD45" s="12" t="s">
        <v>313</v>
      </c>
      <c r="AE45" s="12" t="s">
        <v>106</v>
      </c>
      <c r="AF45" s="12" t="s">
        <v>314</v>
      </c>
      <c r="AG45" s="12" t="s">
        <v>315</v>
      </c>
    </row>
    <row r="46" customFormat="false" ht="60" hidden="false" customHeight="true" outlineLevel="0" collapsed="false">
      <c r="A46" s="17" t="s">
        <v>279</v>
      </c>
      <c r="B46" s="16" t="n">
        <v>5</v>
      </c>
      <c r="C46" s="12" t="s">
        <v>13</v>
      </c>
      <c r="D46" s="11" t="s">
        <v>80</v>
      </c>
      <c r="E46" s="12" t="s">
        <v>316</v>
      </c>
      <c r="F46" s="12" t="s">
        <v>317</v>
      </c>
      <c r="G46" s="13" t="n">
        <v>46507</v>
      </c>
      <c r="H46" s="12" t="s">
        <v>282</v>
      </c>
      <c r="I46" s="12" t="s">
        <v>318</v>
      </c>
      <c r="J46" s="14" t="s">
        <v>85</v>
      </c>
      <c r="K46" s="11" t="s">
        <v>86</v>
      </c>
      <c r="L46" s="11" t="s">
        <v>87</v>
      </c>
      <c r="M46" s="12" t="s">
        <v>88</v>
      </c>
      <c r="N46" s="12" t="s">
        <v>89</v>
      </c>
      <c r="O46" s="15" t="s">
        <v>319</v>
      </c>
      <c r="P46" s="11" t="s">
        <v>91</v>
      </c>
      <c r="Q46" s="12" t="s">
        <v>320</v>
      </c>
      <c r="R46" s="12" t="s">
        <v>321</v>
      </c>
      <c r="S46" s="12" t="s">
        <v>322</v>
      </c>
      <c r="T46" s="11" t="s">
        <v>95</v>
      </c>
      <c r="U46" s="11" t="s">
        <v>261</v>
      </c>
      <c r="V46" s="11" t="s">
        <v>97</v>
      </c>
      <c r="W46" s="12" t="s">
        <v>323</v>
      </c>
      <c r="X46" s="11" t="s">
        <v>324</v>
      </c>
      <c r="Y46" s="12" t="s">
        <v>325</v>
      </c>
      <c r="Z46" s="12" t="s">
        <v>101</v>
      </c>
      <c r="AA46" s="12" t="s">
        <v>102</v>
      </c>
      <c r="AB46" s="12" t="s">
        <v>326</v>
      </c>
      <c r="AC46" s="12" t="s">
        <v>327</v>
      </c>
      <c r="AD46" s="12" t="s">
        <v>328</v>
      </c>
      <c r="AE46" s="12" t="s">
        <v>106</v>
      </c>
      <c r="AF46" s="12" t="s">
        <v>329</v>
      </c>
      <c r="AG46" s="12" t="s">
        <v>330</v>
      </c>
    </row>
    <row r="47" customFormat="false" ht="60" hidden="false" customHeight="true" outlineLevel="0" collapsed="false">
      <c r="A47" s="17" t="s">
        <v>279</v>
      </c>
      <c r="B47" s="11" t="n">
        <v>4</v>
      </c>
      <c r="C47" s="12" t="s">
        <v>297</v>
      </c>
      <c r="D47" s="11" t="s">
        <v>110</v>
      </c>
      <c r="E47" s="12" t="s">
        <v>331</v>
      </c>
      <c r="F47" s="12" t="s">
        <v>332</v>
      </c>
      <c r="G47" s="13" t="n">
        <v>46507</v>
      </c>
      <c r="H47" s="12" t="s">
        <v>282</v>
      </c>
      <c r="I47" s="12" t="s">
        <v>318</v>
      </c>
      <c r="J47" s="14" t="s">
        <v>85</v>
      </c>
      <c r="K47" s="11" t="s">
        <v>86</v>
      </c>
      <c r="L47" s="11" t="s">
        <v>87</v>
      </c>
      <c r="M47" s="12" t="s">
        <v>333</v>
      </c>
      <c r="N47" s="12" t="s">
        <v>89</v>
      </c>
      <c r="O47" s="15" t="s">
        <v>334</v>
      </c>
      <c r="P47" s="11" t="s">
        <v>136</v>
      </c>
      <c r="Q47" s="12" t="s">
        <v>335</v>
      </c>
      <c r="R47" s="12" t="s">
        <v>336</v>
      </c>
      <c r="S47" s="12" t="s">
        <v>337</v>
      </c>
      <c r="T47" s="11" t="s">
        <v>95</v>
      </c>
      <c r="U47" s="11" t="s">
        <v>96</v>
      </c>
      <c r="V47" s="11" t="s">
        <v>97</v>
      </c>
      <c r="W47" s="12" t="s">
        <v>338</v>
      </c>
      <c r="X47" s="11" t="s">
        <v>339</v>
      </c>
      <c r="Y47" s="12" t="s">
        <v>340</v>
      </c>
      <c r="Z47" s="12" t="s">
        <v>101</v>
      </c>
      <c r="AA47" s="12" t="s">
        <v>310</v>
      </c>
      <c r="AB47" s="12" t="s">
        <v>341</v>
      </c>
      <c r="AC47" s="12" t="s">
        <v>342</v>
      </c>
      <c r="AD47" s="12" t="s">
        <v>343</v>
      </c>
      <c r="AE47" s="12" t="s">
        <v>106</v>
      </c>
      <c r="AF47" s="12"/>
      <c r="AG47" s="12" t="s">
        <v>344</v>
      </c>
    </row>
    <row r="48" customFormat="false" ht="60" hidden="false" customHeight="true" outlineLevel="0" collapsed="false">
      <c r="A48" s="17" t="s">
        <v>279</v>
      </c>
      <c r="B48" s="16" t="n">
        <v>5</v>
      </c>
      <c r="C48" s="12" t="s">
        <v>297</v>
      </c>
      <c r="D48" s="11" t="s">
        <v>110</v>
      </c>
      <c r="E48" s="12" t="s">
        <v>345</v>
      </c>
      <c r="F48" s="12" t="s">
        <v>346</v>
      </c>
      <c r="G48" s="13" t="n">
        <v>46513</v>
      </c>
      <c r="H48" s="12" t="s">
        <v>282</v>
      </c>
      <c r="I48" s="12" t="s">
        <v>347</v>
      </c>
      <c r="J48" s="14" t="s">
        <v>85</v>
      </c>
      <c r="K48" s="11" t="s">
        <v>86</v>
      </c>
      <c r="L48" s="11" t="s">
        <v>87</v>
      </c>
      <c r="M48" s="12" t="s">
        <v>284</v>
      </c>
      <c r="N48" s="12" t="s">
        <v>89</v>
      </c>
      <c r="O48" s="15" t="s">
        <v>348</v>
      </c>
      <c r="P48" s="11" t="s">
        <v>91</v>
      </c>
      <c r="Q48" s="12" t="s">
        <v>349</v>
      </c>
      <c r="R48" s="12" t="s">
        <v>350</v>
      </c>
      <c r="S48" s="12" t="s">
        <v>351</v>
      </c>
      <c r="T48" s="11" t="s">
        <v>95</v>
      </c>
      <c r="U48" s="11" t="s">
        <v>96</v>
      </c>
      <c r="V48" s="11" t="s">
        <v>97</v>
      </c>
      <c r="W48" s="12" t="s">
        <v>352</v>
      </c>
      <c r="X48" s="11" t="s">
        <v>353</v>
      </c>
      <c r="Y48" s="12" t="s">
        <v>354</v>
      </c>
      <c r="Z48" s="12" t="s">
        <v>101</v>
      </c>
      <c r="AA48" s="12" t="s">
        <v>310</v>
      </c>
      <c r="AB48" s="12" t="s">
        <v>355</v>
      </c>
      <c r="AC48" s="12" t="s">
        <v>356</v>
      </c>
      <c r="AD48" s="12" t="s">
        <v>357</v>
      </c>
      <c r="AE48" s="12" t="s">
        <v>106</v>
      </c>
      <c r="AF48" s="12" t="s">
        <v>358</v>
      </c>
      <c r="AG48" s="12" t="s">
        <v>359</v>
      </c>
    </row>
    <row r="49" customFormat="false" ht="60" hidden="false" customHeight="true" outlineLevel="0" collapsed="false">
      <c r="A49" s="17" t="s">
        <v>279</v>
      </c>
      <c r="B49" s="16" t="n">
        <v>5</v>
      </c>
      <c r="C49" s="12" t="s">
        <v>297</v>
      </c>
      <c r="D49" s="11" t="s">
        <v>110</v>
      </c>
      <c r="E49" s="12" t="s">
        <v>360</v>
      </c>
      <c r="F49" s="12" t="s">
        <v>361</v>
      </c>
      <c r="G49" s="13" t="n">
        <v>46538</v>
      </c>
      <c r="H49" s="12" t="s">
        <v>282</v>
      </c>
      <c r="I49" s="12" t="s">
        <v>362</v>
      </c>
      <c r="J49" s="14" t="s">
        <v>85</v>
      </c>
      <c r="K49" s="11" t="s">
        <v>86</v>
      </c>
      <c r="L49" s="11" t="s">
        <v>87</v>
      </c>
      <c r="M49" s="12" t="s">
        <v>333</v>
      </c>
      <c r="N49" s="12" t="s">
        <v>89</v>
      </c>
      <c r="O49" s="15" t="s">
        <v>363</v>
      </c>
      <c r="P49" s="11" t="s">
        <v>91</v>
      </c>
      <c r="Q49" s="12" t="s">
        <v>364</v>
      </c>
      <c r="R49" s="12" t="s">
        <v>365</v>
      </c>
      <c r="S49" s="12" t="s">
        <v>366</v>
      </c>
      <c r="T49" s="11" t="s">
        <v>183</v>
      </c>
      <c r="U49" s="11" t="s">
        <v>261</v>
      </c>
      <c r="V49" s="11" t="s">
        <v>97</v>
      </c>
      <c r="W49" s="12" t="s">
        <v>367</v>
      </c>
      <c r="X49" s="11" t="s">
        <v>368</v>
      </c>
      <c r="Y49" s="12" t="s">
        <v>369</v>
      </c>
      <c r="Z49" s="12" t="s">
        <v>101</v>
      </c>
      <c r="AA49" s="12" t="s">
        <v>310</v>
      </c>
      <c r="AB49" s="12" t="s">
        <v>370</v>
      </c>
      <c r="AC49" s="12" t="s">
        <v>371</v>
      </c>
      <c r="AD49" s="12" t="s">
        <v>372</v>
      </c>
      <c r="AE49" s="12" t="s">
        <v>106</v>
      </c>
      <c r="AF49" s="12" t="s">
        <v>373</v>
      </c>
      <c r="AG49" s="12" t="s">
        <v>374</v>
      </c>
    </row>
    <row r="50" customFormat="false" ht="60" hidden="false" customHeight="true" outlineLevel="0" collapsed="false">
      <c r="A50" s="17" t="s">
        <v>279</v>
      </c>
      <c r="B50" s="16" t="n">
        <v>5</v>
      </c>
      <c r="C50" s="12" t="s">
        <v>297</v>
      </c>
      <c r="D50" s="11" t="s">
        <v>110</v>
      </c>
      <c r="E50" s="12" t="s">
        <v>375</v>
      </c>
      <c r="F50" s="12" t="s">
        <v>376</v>
      </c>
      <c r="G50" s="13" t="n">
        <v>46568</v>
      </c>
      <c r="H50" s="12" t="s">
        <v>282</v>
      </c>
      <c r="I50" s="12" t="s">
        <v>377</v>
      </c>
      <c r="J50" s="14" t="s">
        <v>85</v>
      </c>
      <c r="K50" s="11" t="s">
        <v>86</v>
      </c>
      <c r="L50" s="11" t="s">
        <v>87</v>
      </c>
      <c r="M50" s="12" t="s">
        <v>284</v>
      </c>
      <c r="N50" s="12" t="s">
        <v>89</v>
      </c>
      <c r="O50" s="15" t="s">
        <v>378</v>
      </c>
      <c r="P50" s="11" t="s">
        <v>91</v>
      </c>
      <c r="Q50" s="12" t="s">
        <v>379</v>
      </c>
      <c r="R50" s="12" t="s">
        <v>380</v>
      </c>
      <c r="S50" s="12" t="s">
        <v>381</v>
      </c>
      <c r="T50" s="11" t="s">
        <v>183</v>
      </c>
      <c r="U50" s="11" t="s">
        <v>382</v>
      </c>
      <c r="V50" s="11" t="s">
        <v>97</v>
      </c>
      <c r="W50" s="12" t="s">
        <v>383</v>
      </c>
      <c r="X50" s="11" t="s">
        <v>384</v>
      </c>
      <c r="Y50" s="12" t="s">
        <v>385</v>
      </c>
      <c r="Z50" s="12" t="s">
        <v>101</v>
      </c>
      <c r="AA50" s="12" t="s">
        <v>310</v>
      </c>
      <c r="AB50" s="12" t="s">
        <v>386</v>
      </c>
      <c r="AC50" s="12" t="s">
        <v>387</v>
      </c>
      <c r="AD50" s="12" t="s">
        <v>388</v>
      </c>
      <c r="AE50" s="12" t="s">
        <v>127</v>
      </c>
      <c r="AF50" s="12" t="s">
        <v>389</v>
      </c>
      <c r="AG50" s="12" t="s">
        <v>390</v>
      </c>
    </row>
    <row r="51" customFormat="false" ht="60" hidden="false" customHeight="true" outlineLevel="0" collapsed="false">
      <c r="A51" s="17" t="s">
        <v>279</v>
      </c>
      <c r="B51" s="11" t="n">
        <v>4</v>
      </c>
      <c r="C51" s="12" t="s">
        <v>297</v>
      </c>
      <c r="D51" s="11" t="s">
        <v>110</v>
      </c>
      <c r="E51" s="12" t="s">
        <v>391</v>
      </c>
      <c r="F51" s="12" t="s">
        <v>392</v>
      </c>
      <c r="G51" s="13" t="n">
        <v>46568</v>
      </c>
      <c r="H51" s="12" t="s">
        <v>282</v>
      </c>
      <c r="I51" s="12" t="s">
        <v>377</v>
      </c>
      <c r="J51" s="14" t="s">
        <v>85</v>
      </c>
      <c r="K51" s="11" t="s">
        <v>86</v>
      </c>
      <c r="L51" s="11" t="s">
        <v>87</v>
      </c>
      <c r="M51" s="12" t="s">
        <v>284</v>
      </c>
      <c r="N51" s="12" t="s">
        <v>89</v>
      </c>
      <c r="O51" s="15" t="s">
        <v>393</v>
      </c>
      <c r="P51" s="11" t="s">
        <v>136</v>
      </c>
      <c r="Q51" s="12" t="s">
        <v>394</v>
      </c>
      <c r="R51" s="12" t="s">
        <v>395</v>
      </c>
      <c r="S51" s="12" t="s">
        <v>396</v>
      </c>
      <c r="T51" s="11" t="s">
        <v>95</v>
      </c>
      <c r="U51" s="11" t="s">
        <v>96</v>
      </c>
      <c r="V51" s="11" t="s">
        <v>97</v>
      </c>
      <c r="W51" s="12" t="s">
        <v>397</v>
      </c>
      <c r="X51" s="11" t="s">
        <v>398</v>
      </c>
      <c r="Y51" s="12" t="s">
        <v>399</v>
      </c>
      <c r="Z51" s="12" t="s">
        <v>101</v>
      </c>
      <c r="AA51" s="12" t="s">
        <v>310</v>
      </c>
      <c r="AB51" s="12" t="s">
        <v>400</v>
      </c>
      <c r="AC51" s="12" t="s">
        <v>401</v>
      </c>
      <c r="AD51" s="12" t="s">
        <v>402</v>
      </c>
      <c r="AE51" s="12" t="s">
        <v>106</v>
      </c>
      <c r="AF51" s="12"/>
      <c r="AG51" s="12" t="s">
        <v>403</v>
      </c>
    </row>
    <row r="52" customFormat="false" ht="60" hidden="false" customHeight="true" outlineLevel="0" collapsed="false">
      <c r="A52" s="17" t="s">
        <v>279</v>
      </c>
      <c r="B52" s="11" t="n">
        <v>4</v>
      </c>
      <c r="C52" s="12" t="s">
        <v>297</v>
      </c>
      <c r="D52" s="11" t="s">
        <v>110</v>
      </c>
      <c r="E52" s="12" t="s">
        <v>404</v>
      </c>
      <c r="F52" s="12" t="s">
        <v>405</v>
      </c>
      <c r="G52" s="13" t="n">
        <v>46599</v>
      </c>
      <c r="H52" s="12" t="s">
        <v>282</v>
      </c>
      <c r="I52" s="12" t="s">
        <v>406</v>
      </c>
      <c r="J52" s="14" t="s">
        <v>85</v>
      </c>
      <c r="K52" s="11" t="s">
        <v>86</v>
      </c>
      <c r="L52" s="11" t="s">
        <v>87</v>
      </c>
      <c r="M52" s="12" t="s">
        <v>284</v>
      </c>
      <c r="N52" s="12" t="s">
        <v>89</v>
      </c>
      <c r="O52" s="15" t="s">
        <v>407</v>
      </c>
      <c r="P52" s="11" t="s">
        <v>91</v>
      </c>
      <c r="Q52" s="12" t="s">
        <v>408</v>
      </c>
      <c r="R52" s="12" t="s">
        <v>409</v>
      </c>
      <c r="S52" s="12" t="s">
        <v>410</v>
      </c>
      <c r="T52" s="11" t="s">
        <v>95</v>
      </c>
      <c r="U52" s="11" t="s">
        <v>228</v>
      </c>
      <c r="V52" s="11" t="s">
        <v>97</v>
      </c>
      <c r="W52" s="12" t="s">
        <v>411</v>
      </c>
      <c r="X52" s="11" t="s">
        <v>412</v>
      </c>
      <c r="Y52" s="12" t="s">
        <v>413</v>
      </c>
      <c r="Z52" s="12" t="s">
        <v>101</v>
      </c>
      <c r="AA52" s="12" t="s">
        <v>310</v>
      </c>
      <c r="AB52" s="12" t="s">
        <v>414</v>
      </c>
      <c r="AC52" s="12" t="s">
        <v>415</v>
      </c>
      <c r="AD52" s="12" t="s">
        <v>416</v>
      </c>
      <c r="AE52" s="12" t="s">
        <v>106</v>
      </c>
      <c r="AF52" s="12" t="s">
        <v>417</v>
      </c>
      <c r="AG52" s="12" t="s">
        <v>418</v>
      </c>
    </row>
    <row r="53" customFormat="false" ht="60" hidden="false" customHeight="true" outlineLevel="0" collapsed="false">
      <c r="A53" s="17" t="s">
        <v>279</v>
      </c>
      <c r="B53" s="16" t="n">
        <v>5</v>
      </c>
      <c r="C53" s="12" t="s">
        <v>13</v>
      </c>
      <c r="D53" s="11" t="s">
        <v>80</v>
      </c>
      <c r="E53" s="12" t="s">
        <v>419</v>
      </c>
      <c r="F53" s="12" t="s">
        <v>420</v>
      </c>
      <c r="G53" s="13" t="n">
        <v>46600</v>
      </c>
      <c r="H53" s="12" t="s">
        <v>282</v>
      </c>
      <c r="I53" s="12" t="s">
        <v>324</v>
      </c>
      <c r="J53" s="14" t="s">
        <v>85</v>
      </c>
      <c r="K53" s="11" t="s">
        <v>86</v>
      </c>
      <c r="L53" s="11" t="s">
        <v>87</v>
      </c>
      <c r="M53" s="12" t="s">
        <v>88</v>
      </c>
      <c r="N53" s="12" t="s">
        <v>89</v>
      </c>
      <c r="O53" s="15" t="s">
        <v>421</v>
      </c>
      <c r="P53" s="11" t="s">
        <v>136</v>
      </c>
      <c r="Q53" s="12" t="s">
        <v>422</v>
      </c>
      <c r="R53" s="12" t="s">
        <v>423</v>
      </c>
      <c r="S53" s="12" t="s">
        <v>182</v>
      </c>
      <c r="T53" s="11" t="s">
        <v>95</v>
      </c>
      <c r="U53" s="11" t="s">
        <v>246</v>
      </c>
      <c r="V53" s="11" t="s">
        <v>97</v>
      </c>
      <c r="W53" s="12" t="s">
        <v>424</v>
      </c>
      <c r="X53" s="11" t="s">
        <v>425</v>
      </c>
      <c r="Y53" s="12" t="s">
        <v>426</v>
      </c>
      <c r="Z53" s="12" t="s">
        <v>101</v>
      </c>
      <c r="AA53" s="12" t="s">
        <v>102</v>
      </c>
      <c r="AB53" s="12" t="s">
        <v>427</v>
      </c>
      <c r="AC53" s="12" t="s">
        <v>428</v>
      </c>
      <c r="AD53" s="12" t="s">
        <v>429</v>
      </c>
      <c r="AE53" s="12" t="s">
        <v>127</v>
      </c>
      <c r="AF53" s="12" t="s">
        <v>430</v>
      </c>
      <c r="AG53" s="12" t="s">
        <v>431</v>
      </c>
    </row>
    <row r="54" customFormat="false" ht="60" hidden="false" customHeight="true" outlineLevel="0" collapsed="false">
      <c r="A54" s="17" t="s">
        <v>279</v>
      </c>
      <c r="B54" s="11" t="n">
        <v>4</v>
      </c>
      <c r="C54" s="12" t="s">
        <v>297</v>
      </c>
      <c r="D54" s="11" t="s">
        <v>110</v>
      </c>
      <c r="E54" s="12" t="s">
        <v>331</v>
      </c>
      <c r="F54" s="12" t="s">
        <v>432</v>
      </c>
      <c r="G54" s="13" t="n">
        <v>46605</v>
      </c>
      <c r="H54" s="12" t="s">
        <v>282</v>
      </c>
      <c r="I54" s="12" t="s">
        <v>433</v>
      </c>
      <c r="J54" s="14" t="s">
        <v>85</v>
      </c>
      <c r="K54" s="11" t="s">
        <v>86</v>
      </c>
      <c r="L54" s="11" t="s">
        <v>87</v>
      </c>
      <c r="M54" s="12" t="s">
        <v>284</v>
      </c>
      <c r="N54" s="12" t="s">
        <v>89</v>
      </c>
      <c r="O54" s="15" t="s">
        <v>434</v>
      </c>
      <c r="P54" s="11" t="s">
        <v>136</v>
      </c>
      <c r="Q54" s="12" t="s">
        <v>335</v>
      </c>
      <c r="R54" s="12" t="s">
        <v>336</v>
      </c>
      <c r="S54" s="12" t="s">
        <v>435</v>
      </c>
      <c r="T54" s="11" t="s">
        <v>95</v>
      </c>
      <c r="U54" s="11" t="s">
        <v>96</v>
      </c>
      <c r="V54" s="11" t="s">
        <v>97</v>
      </c>
      <c r="W54" s="12" t="s">
        <v>436</v>
      </c>
      <c r="X54" s="11" t="s">
        <v>437</v>
      </c>
      <c r="Y54" s="12" t="s">
        <v>438</v>
      </c>
      <c r="Z54" s="12" t="s">
        <v>101</v>
      </c>
      <c r="AA54" s="12" t="s">
        <v>310</v>
      </c>
      <c r="AB54" s="12" t="s">
        <v>439</v>
      </c>
      <c r="AC54" s="12" t="s">
        <v>440</v>
      </c>
      <c r="AD54" s="12" t="s">
        <v>441</v>
      </c>
      <c r="AE54" s="12" t="s">
        <v>106</v>
      </c>
      <c r="AF54" s="12" t="s">
        <v>442</v>
      </c>
      <c r="AG54" s="12" t="s">
        <v>443</v>
      </c>
    </row>
    <row r="55" customFormat="false" ht="60" hidden="false" customHeight="true" outlineLevel="0" collapsed="false">
      <c r="A55" s="17" t="s">
        <v>279</v>
      </c>
      <c r="B55" s="16" t="n">
        <v>5</v>
      </c>
      <c r="C55" s="12" t="s">
        <v>297</v>
      </c>
      <c r="D55" s="11" t="s">
        <v>110</v>
      </c>
      <c r="E55" s="12" t="s">
        <v>444</v>
      </c>
      <c r="F55" s="12" t="s">
        <v>445</v>
      </c>
      <c r="G55" s="13" t="n">
        <v>46630</v>
      </c>
      <c r="H55" s="12" t="s">
        <v>446</v>
      </c>
      <c r="I55" s="12" t="s">
        <v>447</v>
      </c>
      <c r="J55" s="14" t="s">
        <v>113</v>
      </c>
      <c r="K55" s="11" t="s">
        <v>86</v>
      </c>
      <c r="L55" s="11" t="s">
        <v>114</v>
      </c>
      <c r="M55" s="12" t="s">
        <v>333</v>
      </c>
      <c r="N55" s="12" t="s">
        <v>89</v>
      </c>
      <c r="O55" s="15" t="s">
        <v>448</v>
      </c>
      <c r="P55" s="11" t="s">
        <v>136</v>
      </c>
      <c r="Q55" s="12" t="s">
        <v>449</v>
      </c>
      <c r="R55" s="12" t="s">
        <v>450</v>
      </c>
      <c r="S55" s="12" t="s">
        <v>451</v>
      </c>
      <c r="T55" s="11" t="s">
        <v>95</v>
      </c>
      <c r="U55" s="11" t="s">
        <v>452</v>
      </c>
      <c r="V55" s="11" t="s">
        <v>97</v>
      </c>
      <c r="W55" s="12" t="s">
        <v>453</v>
      </c>
      <c r="X55" s="11" t="s">
        <v>454</v>
      </c>
      <c r="Y55" s="12" t="s">
        <v>455</v>
      </c>
      <c r="Z55" s="12" t="s">
        <v>101</v>
      </c>
      <c r="AA55" s="12" t="s">
        <v>310</v>
      </c>
      <c r="AB55" s="12" t="s">
        <v>456</v>
      </c>
      <c r="AC55" s="12" t="s">
        <v>457</v>
      </c>
      <c r="AD55" s="12" t="s">
        <v>458</v>
      </c>
      <c r="AE55" s="12" t="s">
        <v>106</v>
      </c>
      <c r="AF55" s="12"/>
      <c r="AG55" s="12" t="s">
        <v>459</v>
      </c>
    </row>
    <row r="56" customFormat="false" ht="60" hidden="false" customHeight="true" outlineLevel="0" collapsed="false">
      <c r="A56" s="17" t="s">
        <v>279</v>
      </c>
      <c r="B56" s="16" t="n">
        <v>5</v>
      </c>
      <c r="C56" s="12" t="s">
        <v>297</v>
      </c>
      <c r="D56" s="11" t="s">
        <v>110</v>
      </c>
      <c r="E56" s="12" t="s">
        <v>316</v>
      </c>
      <c r="F56" s="12" t="s">
        <v>460</v>
      </c>
      <c r="G56" s="13" t="n">
        <v>46630</v>
      </c>
      <c r="H56" s="12" t="s">
        <v>282</v>
      </c>
      <c r="I56" s="12" t="s">
        <v>447</v>
      </c>
      <c r="J56" s="14" t="s">
        <v>113</v>
      </c>
      <c r="K56" s="11" t="s">
        <v>86</v>
      </c>
      <c r="L56" s="11" t="s">
        <v>114</v>
      </c>
      <c r="M56" s="12" t="s">
        <v>284</v>
      </c>
      <c r="N56" s="12" t="s">
        <v>89</v>
      </c>
      <c r="O56" s="15" t="s">
        <v>461</v>
      </c>
      <c r="P56" s="11" t="s">
        <v>91</v>
      </c>
      <c r="Q56" s="12" t="s">
        <v>320</v>
      </c>
      <c r="R56" s="12" t="s">
        <v>321</v>
      </c>
      <c r="S56" s="12" t="s">
        <v>462</v>
      </c>
      <c r="T56" s="11" t="s">
        <v>95</v>
      </c>
      <c r="U56" s="11" t="s">
        <v>261</v>
      </c>
      <c r="V56" s="11" t="s">
        <v>97</v>
      </c>
      <c r="W56" s="12" t="s">
        <v>463</v>
      </c>
      <c r="X56" s="11" t="s">
        <v>464</v>
      </c>
      <c r="Y56" s="12" t="s">
        <v>465</v>
      </c>
      <c r="Z56" s="12" t="s">
        <v>101</v>
      </c>
      <c r="AA56" s="12" t="s">
        <v>310</v>
      </c>
      <c r="AB56" s="12" t="s">
        <v>466</v>
      </c>
      <c r="AC56" s="12" t="s">
        <v>467</v>
      </c>
      <c r="AD56" s="12" t="s">
        <v>468</v>
      </c>
      <c r="AE56" s="12" t="s">
        <v>106</v>
      </c>
      <c r="AF56" s="12" t="s">
        <v>469</v>
      </c>
      <c r="AG56" s="12" t="s">
        <v>470</v>
      </c>
    </row>
    <row r="57" customFormat="false" ht="60" hidden="false" customHeight="true" outlineLevel="0" collapsed="false">
      <c r="A57" s="17" t="s">
        <v>279</v>
      </c>
      <c r="B57" s="11" t="n">
        <v>4</v>
      </c>
      <c r="C57" s="12" t="s">
        <v>297</v>
      </c>
      <c r="D57" s="11" t="s">
        <v>110</v>
      </c>
      <c r="E57" s="12" t="s">
        <v>471</v>
      </c>
      <c r="F57" s="12" t="s">
        <v>472</v>
      </c>
      <c r="G57" s="13" t="n">
        <v>46630</v>
      </c>
      <c r="H57" s="12" t="s">
        <v>282</v>
      </c>
      <c r="I57" s="12" t="s">
        <v>447</v>
      </c>
      <c r="J57" s="14" t="s">
        <v>85</v>
      </c>
      <c r="K57" s="11" t="s">
        <v>86</v>
      </c>
      <c r="L57" s="11" t="s">
        <v>87</v>
      </c>
      <c r="M57" s="12" t="s">
        <v>333</v>
      </c>
      <c r="N57" s="12" t="s">
        <v>89</v>
      </c>
      <c r="O57" s="15" t="s">
        <v>473</v>
      </c>
      <c r="P57" s="11" t="s">
        <v>91</v>
      </c>
      <c r="Q57" s="12" t="s">
        <v>474</v>
      </c>
      <c r="R57" s="12" t="s">
        <v>475</v>
      </c>
      <c r="S57" s="12" t="s">
        <v>476</v>
      </c>
      <c r="T57" s="11" t="s">
        <v>95</v>
      </c>
      <c r="U57" s="11" t="s">
        <v>261</v>
      </c>
      <c r="V57" s="11" t="s">
        <v>97</v>
      </c>
      <c r="W57" s="12" t="s">
        <v>477</v>
      </c>
      <c r="X57" s="11" t="s">
        <v>478</v>
      </c>
      <c r="Y57" s="12" t="s">
        <v>479</v>
      </c>
      <c r="Z57" s="12" t="s">
        <v>101</v>
      </c>
      <c r="AA57" s="12" t="s">
        <v>310</v>
      </c>
      <c r="AB57" s="12" t="s">
        <v>480</v>
      </c>
      <c r="AC57" s="12" t="s">
        <v>481</v>
      </c>
      <c r="AD57" s="12" t="s">
        <v>482</v>
      </c>
      <c r="AE57" s="12" t="s">
        <v>127</v>
      </c>
      <c r="AF57" s="12" t="s">
        <v>483</v>
      </c>
      <c r="AG57" s="12" t="s">
        <v>484</v>
      </c>
    </row>
    <row r="58" customFormat="false" ht="60" hidden="false" customHeight="true" outlineLevel="0" collapsed="false">
      <c r="A58" s="17" t="s">
        <v>279</v>
      </c>
      <c r="B58" s="16" t="n">
        <v>5</v>
      </c>
      <c r="C58" s="12" t="s">
        <v>13</v>
      </c>
      <c r="D58" s="11" t="s">
        <v>80</v>
      </c>
      <c r="E58" s="12" t="s">
        <v>485</v>
      </c>
      <c r="F58" s="12" t="s">
        <v>486</v>
      </c>
      <c r="G58" s="11"/>
      <c r="H58" s="12" t="s">
        <v>487</v>
      </c>
      <c r="I58" s="12" t="s">
        <v>134</v>
      </c>
      <c r="J58" s="14" t="s">
        <v>85</v>
      </c>
      <c r="K58" s="11" t="s">
        <v>86</v>
      </c>
      <c r="L58" s="11" t="s">
        <v>87</v>
      </c>
      <c r="M58" s="12" t="s">
        <v>88</v>
      </c>
      <c r="N58" s="12" t="s">
        <v>89</v>
      </c>
      <c r="O58" s="15" t="s">
        <v>488</v>
      </c>
      <c r="P58" s="11" t="s">
        <v>136</v>
      </c>
      <c r="Q58" s="12" t="s">
        <v>489</v>
      </c>
      <c r="R58" s="12" t="s">
        <v>490</v>
      </c>
      <c r="S58" s="12" t="s">
        <v>491</v>
      </c>
      <c r="T58" s="11" t="s">
        <v>183</v>
      </c>
      <c r="U58" s="11" t="s">
        <v>261</v>
      </c>
      <c r="V58" s="11" t="s">
        <v>97</v>
      </c>
      <c r="W58" s="12" t="s">
        <v>492</v>
      </c>
      <c r="X58" s="11" t="s">
        <v>493</v>
      </c>
      <c r="Y58" s="12" t="s">
        <v>494</v>
      </c>
      <c r="Z58" s="12" t="s">
        <v>101</v>
      </c>
      <c r="AA58" s="12" t="s">
        <v>102</v>
      </c>
      <c r="AB58" s="12" t="s">
        <v>495</v>
      </c>
      <c r="AC58" s="12" t="s">
        <v>496</v>
      </c>
      <c r="AD58" s="12" t="s">
        <v>497</v>
      </c>
      <c r="AE58" s="12" t="s">
        <v>106</v>
      </c>
      <c r="AF58" s="12" t="s">
        <v>498</v>
      </c>
      <c r="AG58" s="12" t="s">
        <v>499</v>
      </c>
    </row>
    <row r="59" customFormat="false" ht="60" hidden="false" customHeight="true" outlineLevel="0" collapsed="false">
      <c r="A59" s="17" t="s">
        <v>279</v>
      </c>
      <c r="B59" s="16" t="n">
        <v>5</v>
      </c>
      <c r="C59" s="12" t="s">
        <v>237</v>
      </c>
      <c r="D59" s="11" t="s">
        <v>110</v>
      </c>
      <c r="E59" s="12" t="s">
        <v>444</v>
      </c>
      <c r="F59" s="12" t="s">
        <v>500</v>
      </c>
      <c r="G59" s="11"/>
      <c r="H59" s="12" t="s">
        <v>487</v>
      </c>
      <c r="I59" s="12" t="s">
        <v>134</v>
      </c>
      <c r="J59" s="14" t="s">
        <v>85</v>
      </c>
      <c r="K59" s="11" t="s">
        <v>86</v>
      </c>
      <c r="L59" s="11" t="s">
        <v>87</v>
      </c>
      <c r="M59" s="12" t="s">
        <v>284</v>
      </c>
      <c r="N59" s="12" t="s">
        <v>89</v>
      </c>
      <c r="O59" s="15" t="s">
        <v>501</v>
      </c>
      <c r="P59" s="11" t="s">
        <v>136</v>
      </c>
      <c r="Q59" s="12" t="s">
        <v>449</v>
      </c>
      <c r="R59" s="12" t="s">
        <v>450</v>
      </c>
      <c r="S59" s="12" t="s">
        <v>502</v>
      </c>
      <c r="T59" s="11" t="s">
        <v>95</v>
      </c>
      <c r="U59" s="11" t="s">
        <v>452</v>
      </c>
      <c r="V59" s="11" t="s">
        <v>97</v>
      </c>
      <c r="W59" s="12" t="s">
        <v>503</v>
      </c>
      <c r="X59" s="11" t="s">
        <v>504</v>
      </c>
      <c r="Y59" s="12" t="s">
        <v>505</v>
      </c>
      <c r="Z59" s="12" t="s">
        <v>101</v>
      </c>
      <c r="AA59" s="12" t="s">
        <v>102</v>
      </c>
      <c r="AB59" s="12" t="s">
        <v>506</v>
      </c>
      <c r="AC59" s="12" t="s">
        <v>507</v>
      </c>
      <c r="AD59" s="12" t="s">
        <v>508</v>
      </c>
      <c r="AE59" s="12" t="s">
        <v>127</v>
      </c>
      <c r="AF59" s="12" t="s">
        <v>509</v>
      </c>
      <c r="AG59" s="12" t="s">
        <v>510</v>
      </c>
    </row>
    <row r="60" customFormat="false" ht="60" hidden="false" customHeight="true" outlineLevel="0" collapsed="false">
      <c r="A60" s="17" t="s">
        <v>279</v>
      </c>
      <c r="B60" s="16" t="n">
        <v>5</v>
      </c>
      <c r="C60" s="12" t="s">
        <v>237</v>
      </c>
      <c r="D60" s="11" t="s">
        <v>110</v>
      </c>
      <c r="E60" s="12" t="s">
        <v>511</v>
      </c>
      <c r="F60" s="12" t="s">
        <v>512</v>
      </c>
      <c r="G60" s="11"/>
      <c r="H60" s="12" t="s">
        <v>487</v>
      </c>
      <c r="I60" s="12" t="s">
        <v>134</v>
      </c>
      <c r="J60" s="18" t="s">
        <v>513</v>
      </c>
      <c r="K60" s="11" t="s">
        <v>514</v>
      </c>
      <c r="L60" s="11" t="s">
        <v>87</v>
      </c>
      <c r="M60" s="12" t="s">
        <v>284</v>
      </c>
      <c r="N60" s="12" t="s">
        <v>89</v>
      </c>
      <c r="O60" s="15" t="s">
        <v>515</v>
      </c>
      <c r="P60" s="11" t="s">
        <v>136</v>
      </c>
      <c r="Q60" s="12" t="s">
        <v>303</v>
      </c>
      <c r="R60" s="12" t="s">
        <v>516</v>
      </c>
      <c r="S60" s="12" t="s">
        <v>517</v>
      </c>
      <c r="T60" s="11" t="s">
        <v>183</v>
      </c>
      <c r="U60" s="11" t="s">
        <v>518</v>
      </c>
      <c r="V60" s="11" t="s">
        <v>97</v>
      </c>
      <c r="W60" s="12" t="s">
        <v>519</v>
      </c>
      <c r="X60" s="11" t="s">
        <v>520</v>
      </c>
      <c r="Y60" s="12" t="s">
        <v>521</v>
      </c>
      <c r="Z60" s="12" t="s">
        <v>522</v>
      </c>
      <c r="AA60" s="12" t="s">
        <v>523</v>
      </c>
      <c r="AB60" s="12" t="s">
        <v>524</v>
      </c>
      <c r="AC60" s="12" t="s">
        <v>525</v>
      </c>
      <c r="AD60" s="12" t="s">
        <v>526</v>
      </c>
      <c r="AE60" s="12" t="s">
        <v>127</v>
      </c>
      <c r="AF60" s="12" t="s">
        <v>527</v>
      </c>
      <c r="AG60" s="12" t="s">
        <v>528</v>
      </c>
    </row>
    <row r="61" customFormat="false" ht="60" hidden="false" customHeight="true" outlineLevel="0" collapsed="false">
      <c r="A61" s="17" t="s">
        <v>279</v>
      </c>
      <c r="B61" s="16" t="n">
        <v>5</v>
      </c>
      <c r="C61" s="12" t="s">
        <v>13</v>
      </c>
      <c r="D61" s="11" t="s">
        <v>80</v>
      </c>
      <c r="E61" s="12" t="s">
        <v>511</v>
      </c>
      <c r="F61" s="12" t="s">
        <v>529</v>
      </c>
      <c r="G61" s="11"/>
      <c r="H61" s="12" t="s">
        <v>487</v>
      </c>
      <c r="I61" s="12" t="s">
        <v>134</v>
      </c>
      <c r="J61" s="19" t="s">
        <v>530</v>
      </c>
      <c r="K61" s="11" t="s">
        <v>531</v>
      </c>
      <c r="L61" s="11" t="s">
        <v>87</v>
      </c>
      <c r="M61" s="12" t="s">
        <v>284</v>
      </c>
      <c r="N61" s="12" t="s">
        <v>89</v>
      </c>
      <c r="O61" s="15" t="s">
        <v>532</v>
      </c>
      <c r="P61" s="11" t="s">
        <v>136</v>
      </c>
      <c r="Q61" s="12" t="s">
        <v>303</v>
      </c>
      <c r="R61" s="12" t="s">
        <v>516</v>
      </c>
      <c r="S61" s="12" t="s">
        <v>533</v>
      </c>
      <c r="T61" s="11" t="s">
        <v>183</v>
      </c>
      <c r="U61" s="11" t="s">
        <v>518</v>
      </c>
      <c r="V61" s="11" t="s">
        <v>97</v>
      </c>
      <c r="W61" s="12" t="s">
        <v>534</v>
      </c>
      <c r="X61" s="11" t="s">
        <v>520</v>
      </c>
      <c r="Y61" s="12" t="s">
        <v>535</v>
      </c>
      <c r="Z61" s="12" t="s">
        <v>101</v>
      </c>
      <c r="AA61" s="12" t="s">
        <v>536</v>
      </c>
      <c r="AB61" s="12" t="s">
        <v>537</v>
      </c>
      <c r="AC61" s="12" t="s">
        <v>538</v>
      </c>
      <c r="AD61" s="12" t="s">
        <v>539</v>
      </c>
      <c r="AE61" s="12" t="s">
        <v>127</v>
      </c>
      <c r="AF61" s="12" t="s">
        <v>540</v>
      </c>
      <c r="AG61" s="12" t="s">
        <v>541</v>
      </c>
    </row>
    <row r="62" customFormat="false" ht="60" hidden="false" customHeight="true" outlineLevel="0" collapsed="false">
      <c r="A62" s="17" t="s">
        <v>279</v>
      </c>
      <c r="B62" s="16" t="n">
        <v>5</v>
      </c>
      <c r="C62" s="12" t="s">
        <v>13</v>
      </c>
      <c r="D62" s="11" t="s">
        <v>80</v>
      </c>
      <c r="E62" s="12" t="s">
        <v>542</v>
      </c>
      <c r="F62" s="12" t="s">
        <v>543</v>
      </c>
      <c r="G62" s="11"/>
      <c r="H62" s="12" t="s">
        <v>544</v>
      </c>
      <c r="I62" s="12" t="s">
        <v>86</v>
      </c>
      <c r="J62" s="19" t="s">
        <v>530</v>
      </c>
      <c r="K62" s="11" t="s">
        <v>531</v>
      </c>
      <c r="L62" s="11" t="s">
        <v>87</v>
      </c>
      <c r="M62" s="12" t="s">
        <v>88</v>
      </c>
      <c r="N62" s="12" t="s">
        <v>89</v>
      </c>
      <c r="O62" s="15" t="s">
        <v>545</v>
      </c>
      <c r="P62" s="11" t="s">
        <v>136</v>
      </c>
      <c r="Q62" s="12" t="s">
        <v>546</v>
      </c>
      <c r="R62" s="12" t="s">
        <v>547</v>
      </c>
      <c r="S62" s="12" t="s">
        <v>94</v>
      </c>
      <c r="T62" s="11" t="s">
        <v>183</v>
      </c>
      <c r="U62" s="11" t="s">
        <v>139</v>
      </c>
      <c r="V62" s="11" t="s">
        <v>97</v>
      </c>
      <c r="W62" s="12" t="s">
        <v>548</v>
      </c>
      <c r="X62" s="11" t="s">
        <v>549</v>
      </c>
      <c r="Y62" s="12" t="s">
        <v>550</v>
      </c>
      <c r="Z62" s="12" t="s">
        <v>101</v>
      </c>
      <c r="AA62" s="12" t="s">
        <v>536</v>
      </c>
      <c r="AB62" s="12" t="s">
        <v>551</v>
      </c>
      <c r="AC62" s="12" t="s">
        <v>552</v>
      </c>
      <c r="AD62" s="12" t="s">
        <v>553</v>
      </c>
      <c r="AE62" s="12" t="s">
        <v>127</v>
      </c>
      <c r="AF62" s="12" t="s">
        <v>554</v>
      </c>
      <c r="AG62" s="12" t="s">
        <v>555</v>
      </c>
    </row>
    <row r="63" customFormat="false" ht="60" hidden="false" customHeight="true" outlineLevel="0" collapsed="false">
      <c r="A63" s="17" t="s">
        <v>279</v>
      </c>
      <c r="B63" s="16" t="n">
        <v>5</v>
      </c>
      <c r="C63" s="12" t="s">
        <v>237</v>
      </c>
      <c r="D63" s="11" t="s">
        <v>110</v>
      </c>
      <c r="E63" s="12" t="s">
        <v>206</v>
      </c>
      <c r="F63" s="12" t="s">
        <v>556</v>
      </c>
      <c r="G63" s="11"/>
      <c r="H63" s="12" t="s">
        <v>487</v>
      </c>
      <c r="I63" s="12" t="s">
        <v>134</v>
      </c>
      <c r="J63" s="20" t="s">
        <v>557</v>
      </c>
      <c r="K63" s="11" t="s">
        <v>86</v>
      </c>
      <c r="L63" s="11" t="s">
        <v>558</v>
      </c>
      <c r="M63" s="12" t="s">
        <v>301</v>
      </c>
      <c r="N63" s="12" t="s">
        <v>89</v>
      </c>
      <c r="O63" s="15" t="s">
        <v>559</v>
      </c>
      <c r="P63" s="11" t="s">
        <v>136</v>
      </c>
      <c r="Q63" s="12" t="s">
        <v>560</v>
      </c>
      <c r="R63" s="12" t="s">
        <v>212</v>
      </c>
      <c r="S63" s="12" t="s">
        <v>561</v>
      </c>
      <c r="T63" s="11" t="s">
        <v>95</v>
      </c>
      <c r="U63" s="11" t="s">
        <v>213</v>
      </c>
      <c r="V63" s="11" t="s">
        <v>97</v>
      </c>
      <c r="W63" s="12" t="s">
        <v>562</v>
      </c>
      <c r="X63" s="11" t="s">
        <v>86</v>
      </c>
      <c r="Y63" s="12" t="s">
        <v>563</v>
      </c>
      <c r="Z63" s="12" t="s">
        <v>101</v>
      </c>
      <c r="AA63" s="12" t="s">
        <v>102</v>
      </c>
      <c r="AB63" s="12" t="s">
        <v>564</v>
      </c>
      <c r="AC63" s="12" t="s">
        <v>565</v>
      </c>
      <c r="AD63" s="12" t="s">
        <v>566</v>
      </c>
      <c r="AE63" s="12" t="s">
        <v>106</v>
      </c>
      <c r="AF63" s="12" t="s">
        <v>567</v>
      </c>
      <c r="AG63" s="12" t="s">
        <v>568</v>
      </c>
    </row>
    <row r="64" customFormat="false" ht="60" hidden="false" customHeight="true" outlineLevel="0" collapsed="false">
      <c r="A64" s="17" t="s">
        <v>279</v>
      </c>
      <c r="B64" s="16" t="n">
        <v>5</v>
      </c>
      <c r="C64" s="12" t="s">
        <v>297</v>
      </c>
      <c r="D64" s="11" t="s">
        <v>110</v>
      </c>
      <c r="E64" s="12" t="s">
        <v>569</v>
      </c>
      <c r="F64" s="12" t="s">
        <v>570</v>
      </c>
      <c r="G64" s="11"/>
      <c r="H64" s="12" t="s">
        <v>487</v>
      </c>
      <c r="I64" s="12" t="s">
        <v>134</v>
      </c>
      <c r="J64" s="14" t="s">
        <v>85</v>
      </c>
      <c r="K64" s="11" t="s">
        <v>86</v>
      </c>
      <c r="L64" s="11" t="s">
        <v>87</v>
      </c>
      <c r="M64" s="12" t="s">
        <v>284</v>
      </c>
      <c r="N64" s="12" t="s">
        <v>571</v>
      </c>
      <c r="O64" s="15" t="s">
        <v>572</v>
      </c>
      <c r="P64" s="11" t="s">
        <v>136</v>
      </c>
      <c r="Q64" s="12" t="s">
        <v>573</v>
      </c>
      <c r="R64" s="12" t="s">
        <v>574</v>
      </c>
      <c r="S64" s="12" t="s">
        <v>575</v>
      </c>
      <c r="T64" s="11" t="s">
        <v>183</v>
      </c>
      <c r="U64" s="11" t="s">
        <v>96</v>
      </c>
      <c r="V64" s="11" t="s">
        <v>97</v>
      </c>
      <c r="W64" s="12" t="s">
        <v>576</v>
      </c>
      <c r="X64" s="11" t="s">
        <v>577</v>
      </c>
      <c r="Y64" s="12" t="s">
        <v>578</v>
      </c>
      <c r="Z64" s="12" t="s">
        <v>101</v>
      </c>
      <c r="AA64" s="12" t="s">
        <v>310</v>
      </c>
      <c r="AB64" s="12" t="s">
        <v>579</v>
      </c>
      <c r="AC64" s="12" t="s">
        <v>580</v>
      </c>
      <c r="AD64" s="12" t="s">
        <v>581</v>
      </c>
      <c r="AE64" s="12" t="s">
        <v>106</v>
      </c>
      <c r="AF64" s="12" t="s">
        <v>582</v>
      </c>
      <c r="AG64" s="12" t="s">
        <v>583</v>
      </c>
    </row>
    <row r="65" customFormat="false" ht="60" hidden="false" customHeight="true" outlineLevel="0" collapsed="false">
      <c r="A65" s="17" t="s">
        <v>279</v>
      </c>
      <c r="B65" s="16" t="n">
        <v>5</v>
      </c>
      <c r="C65" s="12" t="s">
        <v>297</v>
      </c>
      <c r="D65" s="11" t="s">
        <v>110</v>
      </c>
      <c r="E65" s="12" t="s">
        <v>584</v>
      </c>
      <c r="F65" s="12" t="s">
        <v>585</v>
      </c>
      <c r="G65" s="11"/>
      <c r="H65" s="12" t="s">
        <v>487</v>
      </c>
      <c r="I65" s="12" t="s">
        <v>134</v>
      </c>
      <c r="J65" s="14" t="s">
        <v>85</v>
      </c>
      <c r="K65" s="11" t="s">
        <v>86</v>
      </c>
      <c r="L65" s="11" t="s">
        <v>87</v>
      </c>
      <c r="M65" s="12" t="s">
        <v>284</v>
      </c>
      <c r="N65" s="12" t="s">
        <v>586</v>
      </c>
      <c r="O65" s="15" t="s">
        <v>587</v>
      </c>
      <c r="P65" s="11" t="s">
        <v>136</v>
      </c>
      <c r="Q65" s="12" t="s">
        <v>588</v>
      </c>
      <c r="R65" s="12" t="s">
        <v>304</v>
      </c>
      <c r="S65" s="12" t="s">
        <v>589</v>
      </c>
      <c r="T65" s="11" t="s">
        <v>183</v>
      </c>
      <c r="U65" s="11" t="s">
        <v>96</v>
      </c>
      <c r="V65" s="11" t="s">
        <v>97</v>
      </c>
      <c r="W65" s="12" t="s">
        <v>590</v>
      </c>
      <c r="X65" s="11" t="s">
        <v>591</v>
      </c>
      <c r="Y65" s="12" t="s">
        <v>592</v>
      </c>
      <c r="Z65" s="12" t="s">
        <v>101</v>
      </c>
      <c r="AA65" s="12" t="s">
        <v>310</v>
      </c>
      <c r="AB65" s="12" t="s">
        <v>593</v>
      </c>
      <c r="AC65" s="12" t="s">
        <v>594</v>
      </c>
      <c r="AD65" s="12" t="s">
        <v>595</v>
      </c>
      <c r="AE65" s="12" t="s">
        <v>596</v>
      </c>
      <c r="AF65" s="12" t="s">
        <v>597</v>
      </c>
      <c r="AG65" s="12" t="s">
        <v>598</v>
      </c>
    </row>
    <row r="66" customFormat="false" ht="60" hidden="false" customHeight="true" outlineLevel="0" collapsed="false">
      <c r="A66" s="17" t="s">
        <v>279</v>
      </c>
      <c r="B66" s="16" t="n">
        <v>5</v>
      </c>
      <c r="C66" s="12" t="s">
        <v>297</v>
      </c>
      <c r="D66" s="11" t="s">
        <v>110</v>
      </c>
      <c r="E66" s="12" t="s">
        <v>599</v>
      </c>
      <c r="F66" s="12" t="s">
        <v>600</v>
      </c>
      <c r="G66" s="11"/>
      <c r="H66" s="12" t="s">
        <v>487</v>
      </c>
      <c r="I66" s="12" t="s">
        <v>134</v>
      </c>
      <c r="J66" s="14" t="s">
        <v>85</v>
      </c>
      <c r="K66" s="11" t="s">
        <v>86</v>
      </c>
      <c r="L66" s="11" t="s">
        <v>87</v>
      </c>
      <c r="M66" s="12" t="s">
        <v>284</v>
      </c>
      <c r="N66" s="12" t="s">
        <v>89</v>
      </c>
      <c r="O66" s="15" t="s">
        <v>601</v>
      </c>
      <c r="P66" s="11" t="s">
        <v>136</v>
      </c>
      <c r="Q66" s="12" t="s">
        <v>602</v>
      </c>
      <c r="R66" s="12" t="s">
        <v>603</v>
      </c>
      <c r="S66" s="12" t="s">
        <v>604</v>
      </c>
      <c r="T66" s="11" t="s">
        <v>183</v>
      </c>
      <c r="U66" s="11" t="s">
        <v>96</v>
      </c>
      <c r="V66" s="11" t="s">
        <v>97</v>
      </c>
      <c r="W66" s="12" t="s">
        <v>605</v>
      </c>
      <c r="X66" s="11" t="s">
        <v>606</v>
      </c>
      <c r="Y66" s="12" t="s">
        <v>607</v>
      </c>
      <c r="Z66" s="12" t="s">
        <v>101</v>
      </c>
      <c r="AA66" s="12" t="s">
        <v>310</v>
      </c>
      <c r="AB66" s="12" t="s">
        <v>608</v>
      </c>
      <c r="AC66" s="12" t="s">
        <v>609</v>
      </c>
      <c r="AD66" s="12" t="s">
        <v>610</v>
      </c>
      <c r="AE66" s="12" t="s">
        <v>106</v>
      </c>
      <c r="AF66" s="12" t="s">
        <v>611</v>
      </c>
      <c r="AG66" s="12" t="s">
        <v>612</v>
      </c>
    </row>
    <row r="67" customFormat="false" ht="60" hidden="false" customHeight="true" outlineLevel="0" collapsed="false">
      <c r="A67" s="17" t="s">
        <v>279</v>
      </c>
      <c r="B67" s="16" t="n">
        <v>5</v>
      </c>
      <c r="C67" s="12" t="s">
        <v>13</v>
      </c>
      <c r="D67" s="11" t="s">
        <v>80</v>
      </c>
      <c r="E67" s="12" t="s">
        <v>613</v>
      </c>
      <c r="F67" s="12" t="s">
        <v>614</v>
      </c>
      <c r="G67" s="11"/>
      <c r="H67" s="12" t="s">
        <v>487</v>
      </c>
      <c r="I67" s="12" t="s">
        <v>134</v>
      </c>
      <c r="J67" s="14" t="s">
        <v>85</v>
      </c>
      <c r="K67" s="11" t="s">
        <v>86</v>
      </c>
      <c r="L67" s="11" t="s">
        <v>87</v>
      </c>
      <c r="M67" s="12" t="s">
        <v>88</v>
      </c>
      <c r="N67" s="12" t="s">
        <v>89</v>
      </c>
      <c r="O67" s="15" t="s">
        <v>615</v>
      </c>
      <c r="P67" s="11" t="s">
        <v>136</v>
      </c>
      <c r="Q67" s="12" t="s">
        <v>616</v>
      </c>
      <c r="R67" s="12" t="s">
        <v>617</v>
      </c>
      <c r="S67" s="12" t="s">
        <v>94</v>
      </c>
      <c r="T67" s="11" t="s">
        <v>183</v>
      </c>
      <c r="U67" s="11" t="s">
        <v>96</v>
      </c>
      <c r="V67" s="11" t="s">
        <v>97</v>
      </c>
      <c r="W67" s="12" t="s">
        <v>618</v>
      </c>
      <c r="X67" s="11" t="s">
        <v>324</v>
      </c>
      <c r="Y67" s="12" t="s">
        <v>619</v>
      </c>
      <c r="Z67" s="12" t="s">
        <v>101</v>
      </c>
      <c r="AA67" s="12" t="s">
        <v>102</v>
      </c>
      <c r="AB67" s="12" t="s">
        <v>620</v>
      </c>
      <c r="AC67" s="12" t="s">
        <v>621</v>
      </c>
      <c r="AD67" s="12" t="s">
        <v>622</v>
      </c>
      <c r="AE67" s="12" t="s">
        <v>127</v>
      </c>
      <c r="AF67" s="12" t="s">
        <v>623</v>
      </c>
      <c r="AG67" s="12" t="s">
        <v>624</v>
      </c>
    </row>
    <row r="68" customFormat="false" ht="60" hidden="false" customHeight="true" outlineLevel="0" collapsed="false">
      <c r="A68" s="17" t="s">
        <v>279</v>
      </c>
      <c r="B68" s="16" t="n">
        <v>5</v>
      </c>
      <c r="C68" s="12" t="s">
        <v>297</v>
      </c>
      <c r="D68" s="11" t="s">
        <v>110</v>
      </c>
      <c r="E68" s="12" t="s">
        <v>625</v>
      </c>
      <c r="F68" s="12" t="s">
        <v>626</v>
      </c>
      <c r="G68" s="11"/>
      <c r="H68" s="12" t="s">
        <v>544</v>
      </c>
      <c r="I68" s="12" t="s">
        <v>86</v>
      </c>
      <c r="J68" s="14" t="s">
        <v>85</v>
      </c>
      <c r="K68" s="11" t="s">
        <v>86</v>
      </c>
      <c r="L68" s="11" t="s">
        <v>87</v>
      </c>
      <c r="M68" s="12" t="s">
        <v>284</v>
      </c>
      <c r="N68" s="12" t="s">
        <v>89</v>
      </c>
      <c r="O68" s="15" t="s">
        <v>627</v>
      </c>
      <c r="P68" s="11" t="s">
        <v>628</v>
      </c>
      <c r="Q68" s="12" t="s">
        <v>629</v>
      </c>
      <c r="R68" s="12" t="s">
        <v>630</v>
      </c>
      <c r="S68" s="12" t="s">
        <v>631</v>
      </c>
      <c r="T68" s="11" t="s">
        <v>183</v>
      </c>
      <c r="U68" s="11" t="s">
        <v>184</v>
      </c>
      <c r="V68" s="11" t="s">
        <v>97</v>
      </c>
      <c r="W68" s="12" t="s">
        <v>632</v>
      </c>
      <c r="X68" s="11" t="s">
        <v>633</v>
      </c>
      <c r="Y68" s="12" t="s">
        <v>634</v>
      </c>
      <c r="Z68" s="12" t="s">
        <v>101</v>
      </c>
      <c r="AA68" s="12" t="s">
        <v>310</v>
      </c>
      <c r="AB68" s="12" t="s">
        <v>635</v>
      </c>
      <c r="AC68" s="12" t="s">
        <v>636</v>
      </c>
      <c r="AD68" s="12" t="s">
        <v>637</v>
      </c>
      <c r="AE68" s="12" t="s">
        <v>106</v>
      </c>
      <c r="AF68" s="12" t="s">
        <v>638</v>
      </c>
      <c r="AG68" s="12" t="s">
        <v>639</v>
      </c>
    </row>
    <row r="69" customFormat="false" ht="60" hidden="false" customHeight="true" outlineLevel="0" collapsed="false">
      <c r="A69" s="17" t="s">
        <v>279</v>
      </c>
      <c r="B69" s="16" t="n">
        <v>5</v>
      </c>
      <c r="C69" s="12" t="s">
        <v>297</v>
      </c>
      <c r="D69" s="11" t="s">
        <v>110</v>
      </c>
      <c r="E69" s="12" t="s">
        <v>640</v>
      </c>
      <c r="F69" s="12" t="s">
        <v>641</v>
      </c>
      <c r="G69" s="11"/>
      <c r="H69" s="12" t="s">
        <v>487</v>
      </c>
      <c r="I69" s="12" t="s">
        <v>134</v>
      </c>
      <c r="J69" s="14" t="s">
        <v>113</v>
      </c>
      <c r="K69" s="11" t="s">
        <v>86</v>
      </c>
      <c r="L69" s="11" t="s">
        <v>114</v>
      </c>
      <c r="M69" s="12" t="s">
        <v>333</v>
      </c>
      <c r="N69" s="12" t="s">
        <v>89</v>
      </c>
      <c r="O69" s="15" t="s">
        <v>642</v>
      </c>
      <c r="P69" s="11" t="s">
        <v>136</v>
      </c>
      <c r="Q69" s="12" t="s">
        <v>643</v>
      </c>
      <c r="R69" s="12" t="s">
        <v>644</v>
      </c>
      <c r="S69" s="12" t="s">
        <v>645</v>
      </c>
      <c r="T69" s="11" t="s">
        <v>183</v>
      </c>
      <c r="U69" s="11" t="s">
        <v>198</v>
      </c>
      <c r="V69" s="11" t="s">
        <v>97</v>
      </c>
      <c r="W69" s="12" t="s">
        <v>646</v>
      </c>
      <c r="X69" s="11" t="s">
        <v>647</v>
      </c>
      <c r="Y69" s="12" t="s">
        <v>648</v>
      </c>
      <c r="Z69" s="12" t="s">
        <v>101</v>
      </c>
      <c r="AA69" s="12" t="s">
        <v>310</v>
      </c>
      <c r="AB69" s="12" t="s">
        <v>649</v>
      </c>
      <c r="AC69" s="12" t="s">
        <v>650</v>
      </c>
      <c r="AD69" s="12" t="s">
        <v>651</v>
      </c>
      <c r="AE69" s="12" t="s">
        <v>127</v>
      </c>
      <c r="AF69" s="12" t="s">
        <v>652</v>
      </c>
      <c r="AG69" s="12" t="s">
        <v>653</v>
      </c>
    </row>
    <row r="70" customFormat="false" ht="60" hidden="false" customHeight="true" outlineLevel="0" collapsed="false">
      <c r="A70" s="17" t="s">
        <v>279</v>
      </c>
      <c r="B70" s="16" t="n">
        <v>5</v>
      </c>
      <c r="C70" s="12" t="s">
        <v>13</v>
      </c>
      <c r="D70" s="11" t="s">
        <v>80</v>
      </c>
      <c r="E70" s="12" t="s">
        <v>654</v>
      </c>
      <c r="F70" s="12" t="s">
        <v>655</v>
      </c>
      <c r="G70" s="11"/>
      <c r="H70" s="12" t="s">
        <v>487</v>
      </c>
      <c r="I70" s="12" t="s">
        <v>134</v>
      </c>
      <c r="J70" s="14" t="s">
        <v>85</v>
      </c>
      <c r="K70" s="11" t="s">
        <v>86</v>
      </c>
      <c r="L70" s="11" t="s">
        <v>87</v>
      </c>
      <c r="M70" s="12" t="s">
        <v>656</v>
      </c>
      <c r="N70" s="12" t="s">
        <v>89</v>
      </c>
      <c r="O70" s="15" t="s">
        <v>657</v>
      </c>
      <c r="P70" s="11" t="s">
        <v>136</v>
      </c>
      <c r="Q70" s="12" t="s">
        <v>658</v>
      </c>
      <c r="R70" s="12" t="s">
        <v>659</v>
      </c>
      <c r="S70" s="12" t="s">
        <v>660</v>
      </c>
      <c r="T70" s="11" t="s">
        <v>183</v>
      </c>
      <c r="U70" s="11" t="s">
        <v>168</v>
      </c>
      <c r="V70" s="11" t="s">
        <v>97</v>
      </c>
      <c r="W70" s="12" t="s">
        <v>661</v>
      </c>
      <c r="X70" s="11" t="s">
        <v>662</v>
      </c>
      <c r="Y70" s="12" t="s">
        <v>663</v>
      </c>
      <c r="Z70" s="12" t="s">
        <v>101</v>
      </c>
      <c r="AA70" s="12" t="s">
        <v>102</v>
      </c>
      <c r="AB70" s="12" t="s">
        <v>664</v>
      </c>
      <c r="AC70" s="12" t="s">
        <v>665</v>
      </c>
      <c r="AD70" s="12" t="s">
        <v>666</v>
      </c>
      <c r="AE70" s="12" t="s">
        <v>106</v>
      </c>
      <c r="AF70" s="12" t="s">
        <v>667</v>
      </c>
      <c r="AG70" s="12" t="s">
        <v>668</v>
      </c>
    </row>
    <row r="71" customFormat="false" ht="60" hidden="false" customHeight="true" outlineLevel="0" collapsed="false">
      <c r="A71" s="17" t="s">
        <v>279</v>
      </c>
      <c r="B71" s="16" t="n">
        <v>5</v>
      </c>
      <c r="C71" s="12" t="s">
        <v>13</v>
      </c>
      <c r="D71" s="11" t="s">
        <v>80</v>
      </c>
      <c r="E71" s="12" t="s">
        <v>669</v>
      </c>
      <c r="F71" s="12" t="s">
        <v>670</v>
      </c>
      <c r="G71" s="11"/>
      <c r="H71" s="12" t="s">
        <v>487</v>
      </c>
      <c r="I71" s="12" t="s">
        <v>134</v>
      </c>
      <c r="J71" s="14" t="s">
        <v>113</v>
      </c>
      <c r="K71" s="11" t="s">
        <v>86</v>
      </c>
      <c r="L71" s="11" t="s">
        <v>114</v>
      </c>
      <c r="M71" s="12" t="s">
        <v>88</v>
      </c>
      <c r="N71" s="12" t="s">
        <v>89</v>
      </c>
      <c r="O71" s="15" t="s">
        <v>671</v>
      </c>
      <c r="P71" s="11" t="s">
        <v>91</v>
      </c>
      <c r="Q71" s="12" t="s">
        <v>672</v>
      </c>
      <c r="R71" s="12" t="s">
        <v>673</v>
      </c>
      <c r="S71" s="12" t="s">
        <v>674</v>
      </c>
      <c r="T71" s="11" t="s">
        <v>183</v>
      </c>
      <c r="U71" s="11" t="s">
        <v>518</v>
      </c>
      <c r="V71" s="11" t="s">
        <v>97</v>
      </c>
      <c r="W71" s="12" t="s">
        <v>675</v>
      </c>
      <c r="X71" s="11" t="s">
        <v>676</v>
      </c>
      <c r="Y71" s="12" t="s">
        <v>677</v>
      </c>
      <c r="Z71" s="12" t="s">
        <v>101</v>
      </c>
      <c r="AA71" s="12" t="s">
        <v>102</v>
      </c>
      <c r="AB71" s="12" t="s">
        <v>678</v>
      </c>
      <c r="AC71" s="12" t="s">
        <v>679</v>
      </c>
      <c r="AD71" s="12" t="s">
        <v>680</v>
      </c>
      <c r="AE71" s="12" t="s">
        <v>127</v>
      </c>
      <c r="AF71" s="12" t="s">
        <v>681</v>
      </c>
      <c r="AG71" s="12" t="s">
        <v>682</v>
      </c>
    </row>
    <row r="72" customFormat="false" ht="60" hidden="false" customHeight="true" outlineLevel="0" collapsed="false">
      <c r="A72" s="17" t="s">
        <v>279</v>
      </c>
      <c r="B72" s="16" t="n">
        <v>5</v>
      </c>
      <c r="C72" s="12" t="s">
        <v>297</v>
      </c>
      <c r="D72" s="11" t="s">
        <v>110</v>
      </c>
      <c r="E72" s="12" t="s">
        <v>683</v>
      </c>
      <c r="F72" s="12" t="s">
        <v>684</v>
      </c>
      <c r="G72" s="11"/>
      <c r="H72" s="12" t="s">
        <v>487</v>
      </c>
      <c r="I72" s="12" t="s">
        <v>134</v>
      </c>
      <c r="J72" s="14" t="s">
        <v>685</v>
      </c>
      <c r="K72" s="11" t="s">
        <v>86</v>
      </c>
      <c r="L72" s="11" t="s">
        <v>686</v>
      </c>
      <c r="M72" s="12" t="s">
        <v>301</v>
      </c>
      <c r="N72" s="12" t="s">
        <v>89</v>
      </c>
      <c r="O72" s="15" t="s">
        <v>687</v>
      </c>
      <c r="P72" s="11" t="s">
        <v>91</v>
      </c>
      <c r="Q72" s="12" t="s">
        <v>688</v>
      </c>
      <c r="R72" s="12" t="s">
        <v>304</v>
      </c>
      <c r="S72" s="12" t="s">
        <v>689</v>
      </c>
      <c r="T72" s="11" t="s">
        <v>95</v>
      </c>
      <c r="U72" s="11" t="s">
        <v>690</v>
      </c>
      <c r="V72" s="11" t="s">
        <v>97</v>
      </c>
      <c r="W72" s="12" t="s">
        <v>691</v>
      </c>
      <c r="X72" s="11" t="s">
        <v>692</v>
      </c>
      <c r="Y72" s="12" t="s">
        <v>693</v>
      </c>
      <c r="Z72" s="12" t="s">
        <v>101</v>
      </c>
      <c r="AA72" s="12" t="s">
        <v>310</v>
      </c>
      <c r="AB72" s="12" t="s">
        <v>694</v>
      </c>
      <c r="AC72" s="12" t="s">
        <v>695</v>
      </c>
      <c r="AD72" s="12" t="s">
        <v>696</v>
      </c>
      <c r="AE72" s="12" t="s">
        <v>596</v>
      </c>
      <c r="AF72" s="12" t="s">
        <v>697</v>
      </c>
      <c r="AG72" s="12" t="s">
        <v>698</v>
      </c>
    </row>
    <row r="73" customFormat="false" ht="60" hidden="false" customHeight="true" outlineLevel="0" collapsed="false">
      <c r="A73" s="17" t="s">
        <v>279</v>
      </c>
      <c r="B73" s="16" t="n">
        <v>5</v>
      </c>
      <c r="C73" s="12" t="s">
        <v>297</v>
      </c>
      <c r="D73" s="11" t="s">
        <v>110</v>
      </c>
      <c r="E73" s="12" t="s">
        <v>699</v>
      </c>
      <c r="F73" s="12" t="s">
        <v>700</v>
      </c>
      <c r="G73" s="11"/>
      <c r="H73" s="12" t="s">
        <v>487</v>
      </c>
      <c r="I73" s="12" t="s">
        <v>134</v>
      </c>
      <c r="J73" s="14" t="s">
        <v>85</v>
      </c>
      <c r="K73" s="11" t="s">
        <v>86</v>
      </c>
      <c r="L73" s="11" t="s">
        <v>87</v>
      </c>
      <c r="M73" s="12" t="s">
        <v>284</v>
      </c>
      <c r="N73" s="12" t="s">
        <v>89</v>
      </c>
      <c r="O73" s="15" t="s">
        <v>701</v>
      </c>
      <c r="P73" s="11" t="s">
        <v>91</v>
      </c>
      <c r="Q73" s="12" t="s">
        <v>702</v>
      </c>
      <c r="R73" s="12" t="s">
        <v>304</v>
      </c>
      <c r="S73" s="12" t="s">
        <v>703</v>
      </c>
      <c r="T73" s="11" t="s">
        <v>95</v>
      </c>
      <c r="U73" s="11" t="s">
        <v>704</v>
      </c>
      <c r="V73" s="11" t="s">
        <v>97</v>
      </c>
      <c r="W73" s="12" t="s">
        <v>705</v>
      </c>
      <c r="X73" s="11" t="s">
        <v>706</v>
      </c>
      <c r="Y73" s="12" t="s">
        <v>707</v>
      </c>
      <c r="Z73" s="12" t="s">
        <v>101</v>
      </c>
      <c r="AA73" s="12" t="s">
        <v>310</v>
      </c>
      <c r="AB73" s="12" t="s">
        <v>708</v>
      </c>
      <c r="AC73" s="12" t="s">
        <v>709</v>
      </c>
      <c r="AD73" s="12" t="s">
        <v>710</v>
      </c>
      <c r="AE73" s="12" t="s">
        <v>106</v>
      </c>
      <c r="AF73" s="12" t="s">
        <v>711</v>
      </c>
      <c r="AG73" s="12" t="s">
        <v>712</v>
      </c>
    </row>
    <row r="74" customFormat="false" ht="60" hidden="false" customHeight="true" outlineLevel="0" collapsed="false">
      <c r="A74" s="17" t="s">
        <v>279</v>
      </c>
      <c r="B74" s="16" t="n">
        <v>5</v>
      </c>
      <c r="C74" s="12" t="s">
        <v>297</v>
      </c>
      <c r="D74" s="11" t="s">
        <v>110</v>
      </c>
      <c r="E74" s="12" t="s">
        <v>713</v>
      </c>
      <c r="F74" s="12" t="s">
        <v>714</v>
      </c>
      <c r="G74" s="11"/>
      <c r="H74" s="12" t="s">
        <v>487</v>
      </c>
      <c r="I74" s="12" t="s">
        <v>134</v>
      </c>
      <c r="J74" s="14" t="s">
        <v>85</v>
      </c>
      <c r="K74" s="11" t="s">
        <v>86</v>
      </c>
      <c r="L74" s="11" t="s">
        <v>87</v>
      </c>
      <c r="M74" s="12" t="s">
        <v>284</v>
      </c>
      <c r="N74" s="12" t="s">
        <v>89</v>
      </c>
      <c r="O74" s="15" t="s">
        <v>715</v>
      </c>
      <c r="P74" s="11" t="s">
        <v>136</v>
      </c>
      <c r="Q74" s="12" t="s">
        <v>716</v>
      </c>
      <c r="R74" s="12" t="s">
        <v>717</v>
      </c>
      <c r="S74" s="12" t="s">
        <v>718</v>
      </c>
      <c r="T74" s="11" t="s">
        <v>183</v>
      </c>
      <c r="U74" s="11" t="s">
        <v>704</v>
      </c>
      <c r="V74" s="11" t="s">
        <v>97</v>
      </c>
      <c r="W74" s="12" t="s">
        <v>719</v>
      </c>
      <c r="X74" s="11" t="s">
        <v>720</v>
      </c>
      <c r="Y74" s="12" t="s">
        <v>721</v>
      </c>
      <c r="Z74" s="12" t="s">
        <v>101</v>
      </c>
      <c r="AA74" s="12" t="s">
        <v>310</v>
      </c>
      <c r="AB74" s="12" t="s">
        <v>722</v>
      </c>
      <c r="AC74" s="12" t="s">
        <v>723</v>
      </c>
      <c r="AD74" s="12" t="s">
        <v>724</v>
      </c>
      <c r="AE74" s="12" t="s">
        <v>106</v>
      </c>
      <c r="AF74" s="12" t="s">
        <v>725</v>
      </c>
      <c r="AG74" s="12" t="s">
        <v>726</v>
      </c>
    </row>
    <row r="75" customFormat="false" ht="60" hidden="false" customHeight="true" outlineLevel="0" collapsed="false">
      <c r="A75" s="17" t="s">
        <v>279</v>
      </c>
      <c r="B75" s="16" t="n">
        <v>5</v>
      </c>
      <c r="C75" s="12" t="s">
        <v>109</v>
      </c>
      <c r="D75" s="11" t="s">
        <v>110</v>
      </c>
      <c r="E75" s="12" t="s">
        <v>131</v>
      </c>
      <c r="F75" s="12" t="s">
        <v>727</v>
      </c>
      <c r="G75" s="11"/>
      <c r="H75" s="12" t="s">
        <v>544</v>
      </c>
      <c r="I75" s="12" t="s">
        <v>86</v>
      </c>
      <c r="J75" s="18" t="s">
        <v>513</v>
      </c>
      <c r="K75" s="11" t="s">
        <v>514</v>
      </c>
      <c r="L75" s="11" t="s">
        <v>87</v>
      </c>
      <c r="M75" s="12" t="s">
        <v>301</v>
      </c>
      <c r="N75" s="12" t="s">
        <v>89</v>
      </c>
      <c r="O75" s="15" t="s">
        <v>728</v>
      </c>
      <c r="P75" s="11" t="s">
        <v>628</v>
      </c>
      <c r="Q75" s="12" t="s">
        <v>729</v>
      </c>
      <c r="R75" s="12" t="s">
        <v>138</v>
      </c>
      <c r="S75" s="12" t="s">
        <v>730</v>
      </c>
      <c r="T75" s="11" t="s">
        <v>95</v>
      </c>
      <c r="U75" s="11" t="s">
        <v>139</v>
      </c>
      <c r="V75" s="11" t="s">
        <v>97</v>
      </c>
      <c r="W75" s="12" t="s">
        <v>731</v>
      </c>
      <c r="X75" s="11" t="s">
        <v>86</v>
      </c>
      <c r="Y75" s="12" t="s">
        <v>732</v>
      </c>
      <c r="Z75" s="12" t="s">
        <v>522</v>
      </c>
      <c r="AA75" s="12" t="s">
        <v>523</v>
      </c>
      <c r="AB75" s="12" t="s">
        <v>733</v>
      </c>
      <c r="AC75" s="12" t="s">
        <v>734</v>
      </c>
      <c r="AD75" s="12" t="s">
        <v>735</v>
      </c>
      <c r="AE75" s="12" t="s">
        <v>106</v>
      </c>
      <c r="AF75" s="12"/>
      <c r="AG75" s="12" t="s">
        <v>736</v>
      </c>
    </row>
    <row r="76" customFormat="false" ht="60" hidden="false" customHeight="true" outlineLevel="0" collapsed="false">
      <c r="A76" s="17" t="s">
        <v>279</v>
      </c>
      <c r="B76" s="16" t="n">
        <v>5</v>
      </c>
      <c r="C76" s="12" t="s">
        <v>297</v>
      </c>
      <c r="D76" s="11" t="s">
        <v>110</v>
      </c>
      <c r="E76" s="12" t="s">
        <v>737</v>
      </c>
      <c r="F76" s="12" t="s">
        <v>738</v>
      </c>
      <c r="G76" s="11"/>
      <c r="H76" s="12" t="s">
        <v>544</v>
      </c>
      <c r="I76" s="12" t="s">
        <v>86</v>
      </c>
      <c r="J76" s="14" t="s">
        <v>85</v>
      </c>
      <c r="K76" s="11" t="s">
        <v>86</v>
      </c>
      <c r="L76" s="11" t="s">
        <v>87</v>
      </c>
      <c r="M76" s="12" t="s">
        <v>333</v>
      </c>
      <c r="N76" s="12" t="s">
        <v>89</v>
      </c>
      <c r="O76" s="15" t="s">
        <v>739</v>
      </c>
      <c r="P76" s="11" t="s">
        <v>136</v>
      </c>
      <c r="Q76" s="12" t="s">
        <v>740</v>
      </c>
      <c r="R76" s="12" t="s">
        <v>741</v>
      </c>
      <c r="S76" s="12" t="s">
        <v>742</v>
      </c>
      <c r="T76" s="11" t="s">
        <v>183</v>
      </c>
      <c r="U76" s="11" t="s">
        <v>743</v>
      </c>
      <c r="V76" s="11" t="s">
        <v>97</v>
      </c>
      <c r="W76" s="12" t="s">
        <v>744</v>
      </c>
      <c r="X76" s="11" t="s">
        <v>745</v>
      </c>
      <c r="Y76" s="12" t="s">
        <v>746</v>
      </c>
      <c r="Z76" s="12" t="s">
        <v>101</v>
      </c>
      <c r="AA76" s="12" t="s">
        <v>310</v>
      </c>
      <c r="AB76" s="12" t="s">
        <v>747</v>
      </c>
      <c r="AC76" s="12" t="s">
        <v>748</v>
      </c>
      <c r="AD76" s="12" t="s">
        <v>749</v>
      </c>
      <c r="AE76" s="12" t="s">
        <v>106</v>
      </c>
      <c r="AF76" s="12" t="s">
        <v>750</v>
      </c>
      <c r="AG76" s="12" t="s">
        <v>751</v>
      </c>
    </row>
    <row r="77" customFormat="false" ht="60" hidden="false" customHeight="true" outlineLevel="0" collapsed="false">
      <c r="A77" s="17" t="s">
        <v>279</v>
      </c>
      <c r="B77" s="16" t="n">
        <v>5</v>
      </c>
      <c r="C77" s="12" t="s">
        <v>13</v>
      </c>
      <c r="D77" s="11" t="s">
        <v>80</v>
      </c>
      <c r="E77" s="12" t="s">
        <v>752</v>
      </c>
      <c r="F77" s="12" t="s">
        <v>753</v>
      </c>
      <c r="G77" s="11"/>
      <c r="H77" s="12" t="s">
        <v>544</v>
      </c>
      <c r="I77" s="12" t="s">
        <v>86</v>
      </c>
      <c r="J77" s="14" t="s">
        <v>85</v>
      </c>
      <c r="K77" s="11" t="s">
        <v>86</v>
      </c>
      <c r="L77" s="11" t="s">
        <v>87</v>
      </c>
      <c r="M77" s="12" t="s">
        <v>301</v>
      </c>
      <c r="N77" s="12" t="s">
        <v>89</v>
      </c>
      <c r="O77" s="15" t="s">
        <v>754</v>
      </c>
      <c r="P77" s="11" t="s">
        <v>628</v>
      </c>
      <c r="Q77" s="12" t="s">
        <v>729</v>
      </c>
      <c r="R77" s="12" t="s">
        <v>755</v>
      </c>
      <c r="S77" s="12" t="s">
        <v>756</v>
      </c>
      <c r="T77" s="11" t="s">
        <v>95</v>
      </c>
      <c r="U77" s="11" t="s">
        <v>198</v>
      </c>
      <c r="V77" s="11" t="s">
        <v>97</v>
      </c>
      <c r="W77" s="12" t="s">
        <v>757</v>
      </c>
      <c r="X77" s="11" t="s">
        <v>86</v>
      </c>
      <c r="Y77" s="12" t="s">
        <v>758</v>
      </c>
      <c r="Z77" s="12" t="s">
        <v>101</v>
      </c>
      <c r="AA77" s="12" t="s">
        <v>102</v>
      </c>
      <c r="AB77" s="12" t="s">
        <v>759</v>
      </c>
      <c r="AC77" s="12" t="s">
        <v>760</v>
      </c>
      <c r="AD77" s="12" t="s">
        <v>761</v>
      </c>
      <c r="AE77" s="12" t="s">
        <v>106</v>
      </c>
      <c r="AF77" s="12" t="s">
        <v>762</v>
      </c>
      <c r="AG77" s="12" t="s">
        <v>763</v>
      </c>
    </row>
    <row r="78" customFormat="false" ht="60" hidden="false" customHeight="true" outlineLevel="0" collapsed="false">
      <c r="A78" s="17" t="s">
        <v>279</v>
      </c>
      <c r="B78" s="16" t="n">
        <v>5</v>
      </c>
      <c r="C78" s="12" t="s">
        <v>297</v>
      </c>
      <c r="D78" s="11" t="s">
        <v>110</v>
      </c>
      <c r="E78" s="12" t="s">
        <v>752</v>
      </c>
      <c r="F78" s="12" t="s">
        <v>764</v>
      </c>
      <c r="G78" s="11"/>
      <c r="H78" s="12" t="s">
        <v>487</v>
      </c>
      <c r="I78" s="12" t="s">
        <v>134</v>
      </c>
      <c r="J78" s="14" t="s">
        <v>85</v>
      </c>
      <c r="K78" s="11" t="s">
        <v>86</v>
      </c>
      <c r="L78" s="11" t="s">
        <v>87</v>
      </c>
      <c r="M78" s="12" t="s">
        <v>301</v>
      </c>
      <c r="N78" s="12" t="s">
        <v>89</v>
      </c>
      <c r="O78" s="15" t="s">
        <v>765</v>
      </c>
      <c r="P78" s="11" t="s">
        <v>628</v>
      </c>
      <c r="Q78" s="12" t="s">
        <v>729</v>
      </c>
      <c r="R78" s="12" t="s">
        <v>755</v>
      </c>
      <c r="S78" s="12" t="s">
        <v>766</v>
      </c>
      <c r="T78" s="11" t="s">
        <v>95</v>
      </c>
      <c r="U78" s="11" t="s">
        <v>198</v>
      </c>
      <c r="V78" s="11" t="s">
        <v>97</v>
      </c>
      <c r="W78" s="12" t="s">
        <v>767</v>
      </c>
      <c r="X78" s="11" t="s">
        <v>86</v>
      </c>
      <c r="Y78" s="12" t="s">
        <v>768</v>
      </c>
      <c r="Z78" s="12" t="s">
        <v>101</v>
      </c>
      <c r="AA78" s="12" t="s">
        <v>310</v>
      </c>
      <c r="AB78" s="12" t="s">
        <v>769</v>
      </c>
      <c r="AC78" s="12" t="s">
        <v>770</v>
      </c>
      <c r="AD78" s="12" t="s">
        <v>771</v>
      </c>
      <c r="AE78" s="12" t="s">
        <v>596</v>
      </c>
      <c r="AF78" s="12" t="s">
        <v>772</v>
      </c>
      <c r="AG78" s="12" t="s">
        <v>773</v>
      </c>
    </row>
    <row r="79" customFormat="false" ht="60" hidden="false" customHeight="true" outlineLevel="0" collapsed="false">
      <c r="A79" s="17" t="s">
        <v>279</v>
      </c>
      <c r="B79" s="16" t="n">
        <v>5</v>
      </c>
      <c r="C79" s="12" t="s">
        <v>297</v>
      </c>
      <c r="D79" s="11" t="s">
        <v>110</v>
      </c>
      <c r="E79" s="12" t="s">
        <v>774</v>
      </c>
      <c r="F79" s="12" t="s">
        <v>775</v>
      </c>
      <c r="G79" s="11"/>
      <c r="H79" s="12" t="s">
        <v>487</v>
      </c>
      <c r="I79" s="12" t="s">
        <v>134</v>
      </c>
      <c r="J79" s="14" t="s">
        <v>85</v>
      </c>
      <c r="K79" s="11" t="s">
        <v>86</v>
      </c>
      <c r="L79" s="11" t="s">
        <v>87</v>
      </c>
      <c r="M79" s="12" t="s">
        <v>333</v>
      </c>
      <c r="N79" s="12" t="s">
        <v>89</v>
      </c>
      <c r="O79" s="15" t="s">
        <v>776</v>
      </c>
      <c r="P79" s="11" t="s">
        <v>136</v>
      </c>
      <c r="Q79" s="12" t="s">
        <v>777</v>
      </c>
      <c r="R79" s="12" t="s">
        <v>778</v>
      </c>
      <c r="S79" s="12" t="s">
        <v>779</v>
      </c>
      <c r="T79" s="11" t="s">
        <v>183</v>
      </c>
      <c r="U79" s="11" t="s">
        <v>261</v>
      </c>
      <c r="V79" s="11" t="s">
        <v>97</v>
      </c>
      <c r="W79" s="12" t="s">
        <v>780</v>
      </c>
      <c r="X79" s="11" t="s">
        <v>781</v>
      </c>
      <c r="Y79" s="12" t="s">
        <v>782</v>
      </c>
      <c r="Z79" s="12" t="s">
        <v>101</v>
      </c>
      <c r="AA79" s="12" t="s">
        <v>310</v>
      </c>
      <c r="AB79" s="12" t="s">
        <v>783</v>
      </c>
      <c r="AC79" s="12" t="s">
        <v>784</v>
      </c>
      <c r="AD79" s="12" t="s">
        <v>785</v>
      </c>
      <c r="AE79" s="12" t="s">
        <v>106</v>
      </c>
      <c r="AF79" s="12" t="s">
        <v>786</v>
      </c>
      <c r="AG79" s="12" t="s">
        <v>787</v>
      </c>
    </row>
    <row r="80" customFormat="false" ht="60" hidden="false" customHeight="true" outlineLevel="0" collapsed="false">
      <c r="A80" s="17" t="s">
        <v>279</v>
      </c>
      <c r="B80" s="16" t="n">
        <v>5</v>
      </c>
      <c r="C80" s="12" t="s">
        <v>13</v>
      </c>
      <c r="D80" s="11" t="s">
        <v>80</v>
      </c>
      <c r="E80" s="12" t="s">
        <v>788</v>
      </c>
      <c r="F80" s="12" t="s">
        <v>789</v>
      </c>
      <c r="G80" s="11"/>
      <c r="H80" s="12" t="s">
        <v>487</v>
      </c>
      <c r="I80" s="12" t="s">
        <v>134</v>
      </c>
      <c r="J80" s="14" t="s">
        <v>85</v>
      </c>
      <c r="K80" s="11" t="s">
        <v>86</v>
      </c>
      <c r="L80" s="11" t="s">
        <v>87</v>
      </c>
      <c r="M80" s="12" t="s">
        <v>301</v>
      </c>
      <c r="N80" s="12" t="s">
        <v>89</v>
      </c>
      <c r="O80" s="15" t="s">
        <v>790</v>
      </c>
      <c r="P80" s="11" t="s">
        <v>136</v>
      </c>
      <c r="Q80" s="12" t="s">
        <v>791</v>
      </c>
      <c r="R80" s="12" t="s">
        <v>792</v>
      </c>
      <c r="S80" s="12" t="s">
        <v>793</v>
      </c>
      <c r="T80" s="11" t="s">
        <v>183</v>
      </c>
      <c r="U80" s="11" t="s">
        <v>261</v>
      </c>
      <c r="V80" s="11" t="s">
        <v>97</v>
      </c>
      <c r="W80" s="12" t="s">
        <v>794</v>
      </c>
      <c r="X80" s="11" t="s">
        <v>86</v>
      </c>
      <c r="Y80" s="12" t="s">
        <v>795</v>
      </c>
      <c r="Z80" s="12" t="s">
        <v>101</v>
      </c>
      <c r="AA80" s="12" t="s">
        <v>102</v>
      </c>
      <c r="AB80" s="12" t="s">
        <v>796</v>
      </c>
      <c r="AC80" s="12" t="s">
        <v>797</v>
      </c>
      <c r="AD80" s="12" t="s">
        <v>798</v>
      </c>
      <c r="AE80" s="12" t="s">
        <v>106</v>
      </c>
      <c r="AF80" s="12" t="s">
        <v>799</v>
      </c>
      <c r="AG80" s="12" t="s">
        <v>800</v>
      </c>
    </row>
    <row r="81" customFormat="false" ht="60" hidden="false" customHeight="true" outlineLevel="0" collapsed="false">
      <c r="A81" s="17" t="s">
        <v>279</v>
      </c>
      <c r="B81" s="16" t="n">
        <v>5</v>
      </c>
      <c r="C81" s="12" t="s">
        <v>237</v>
      </c>
      <c r="D81" s="11" t="s">
        <v>110</v>
      </c>
      <c r="E81" s="12" t="s">
        <v>801</v>
      </c>
      <c r="F81" s="12" t="s">
        <v>802</v>
      </c>
      <c r="G81" s="11"/>
      <c r="H81" s="12" t="s">
        <v>544</v>
      </c>
      <c r="I81" s="12" t="s">
        <v>86</v>
      </c>
      <c r="J81" s="14" t="s">
        <v>85</v>
      </c>
      <c r="K81" s="11" t="s">
        <v>86</v>
      </c>
      <c r="L81" s="11" t="s">
        <v>87</v>
      </c>
      <c r="M81" s="12" t="s">
        <v>284</v>
      </c>
      <c r="N81" s="12" t="s">
        <v>89</v>
      </c>
      <c r="O81" s="15" t="s">
        <v>803</v>
      </c>
      <c r="P81" s="11" t="s">
        <v>628</v>
      </c>
      <c r="Q81" s="12" t="s">
        <v>804</v>
      </c>
      <c r="R81" s="12" t="s">
        <v>805</v>
      </c>
      <c r="S81" s="12" t="s">
        <v>806</v>
      </c>
      <c r="T81" s="11" t="s">
        <v>95</v>
      </c>
      <c r="U81" s="11" t="s">
        <v>261</v>
      </c>
      <c r="V81" s="11" t="s">
        <v>97</v>
      </c>
      <c r="W81" s="12" t="s">
        <v>807</v>
      </c>
      <c r="X81" s="11" t="s">
        <v>808</v>
      </c>
      <c r="Y81" s="12" t="s">
        <v>809</v>
      </c>
      <c r="Z81" s="12" t="s">
        <v>101</v>
      </c>
      <c r="AA81" s="12" t="s">
        <v>102</v>
      </c>
      <c r="AB81" s="12" t="s">
        <v>810</v>
      </c>
      <c r="AC81" s="12" t="s">
        <v>811</v>
      </c>
      <c r="AD81" s="12" t="s">
        <v>812</v>
      </c>
      <c r="AE81" s="12" t="s">
        <v>813</v>
      </c>
      <c r="AF81" s="12" t="s">
        <v>814</v>
      </c>
      <c r="AG81" s="12" t="s">
        <v>815</v>
      </c>
    </row>
    <row r="82" customFormat="false" ht="60" hidden="false" customHeight="true" outlineLevel="0" collapsed="false">
      <c r="A82" s="17" t="s">
        <v>279</v>
      </c>
      <c r="B82" s="16" t="n">
        <v>5</v>
      </c>
      <c r="C82" s="12" t="s">
        <v>109</v>
      </c>
      <c r="D82" s="11" t="s">
        <v>110</v>
      </c>
      <c r="E82" s="12" t="s">
        <v>816</v>
      </c>
      <c r="F82" s="12" t="s">
        <v>817</v>
      </c>
      <c r="G82" s="11"/>
      <c r="H82" s="12" t="s">
        <v>544</v>
      </c>
      <c r="I82" s="12" t="s">
        <v>86</v>
      </c>
      <c r="J82" s="14" t="s">
        <v>240</v>
      </c>
      <c r="K82" s="11" t="s">
        <v>86</v>
      </c>
      <c r="L82" s="11" t="s">
        <v>87</v>
      </c>
      <c r="M82" s="12" t="s">
        <v>88</v>
      </c>
      <c r="N82" s="12" t="s">
        <v>818</v>
      </c>
      <c r="O82" s="15" t="s">
        <v>819</v>
      </c>
      <c r="P82" s="11" t="s">
        <v>136</v>
      </c>
      <c r="Q82" s="12" t="s">
        <v>820</v>
      </c>
      <c r="R82" s="12" t="s">
        <v>821</v>
      </c>
      <c r="S82" s="12" t="s">
        <v>822</v>
      </c>
      <c r="T82" s="11" t="s">
        <v>95</v>
      </c>
      <c r="U82" s="11" t="s">
        <v>823</v>
      </c>
      <c r="V82" s="11" t="s">
        <v>97</v>
      </c>
      <c r="W82" s="12" t="s">
        <v>824</v>
      </c>
      <c r="X82" s="11" t="s">
        <v>825</v>
      </c>
      <c r="Y82" s="12" t="s">
        <v>826</v>
      </c>
      <c r="Z82" s="12" t="s">
        <v>101</v>
      </c>
      <c r="AA82" s="12" t="s">
        <v>102</v>
      </c>
      <c r="AB82" s="12" t="s">
        <v>827</v>
      </c>
      <c r="AC82" s="12" t="s">
        <v>828</v>
      </c>
      <c r="AD82" s="12" t="s">
        <v>829</v>
      </c>
      <c r="AE82" s="12" t="s">
        <v>106</v>
      </c>
      <c r="AF82" s="12"/>
      <c r="AG82" s="12" t="s">
        <v>830</v>
      </c>
    </row>
    <row r="83" customFormat="false" ht="60" hidden="false" customHeight="true" outlineLevel="0" collapsed="false">
      <c r="A83" s="17" t="s">
        <v>279</v>
      </c>
      <c r="B83" s="16" t="n">
        <v>5</v>
      </c>
      <c r="C83" s="12" t="s">
        <v>13</v>
      </c>
      <c r="D83" s="11" t="s">
        <v>80</v>
      </c>
      <c r="E83" s="12" t="s">
        <v>345</v>
      </c>
      <c r="F83" s="12" t="s">
        <v>831</v>
      </c>
      <c r="G83" s="11"/>
      <c r="H83" s="12" t="s">
        <v>544</v>
      </c>
      <c r="I83" s="12" t="s">
        <v>86</v>
      </c>
      <c r="J83" s="14" t="s">
        <v>85</v>
      </c>
      <c r="K83" s="11" t="s">
        <v>86</v>
      </c>
      <c r="L83" s="11" t="s">
        <v>87</v>
      </c>
      <c r="M83" s="12" t="s">
        <v>832</v>
      </c>
      <c r="N83" s="12" t="s">
        <v>89</v>
      </c>
      <c r="O83" s="15" t="s">
        <v>833</v>
      </c>
      <c r="P83" s="11" t="s">
        <v>136</v>
      </c>
      <c r="Q83" s="12" t="s">
        <v>834</v>
      </c>
      <c r="R83" s="12" t="s">
        <v>350</v>
      </c>
      <c r="S83" s="12" t="s">
        <v>835</v>
      </c>
      <c r="T83" s="11" t="s">
        <v>95</v>
      </c>
      <c r="U83" s="11" t="s">
        <v>96</v>
      </c>
      <c r="V83" s="11" t="s">
        <v>97</v>
      </c>
      <c r="W83" s="12" t="s">
        <v>836</v>
      </c>
      <c r="X83" s="11" t="s">
        <v>837</v>
      </c>
      <c r="Y83" s="12" t="s">
        <v>838</v>
      </c>
      <c r="Z83" s="12" t="s">
        <v>101</v>
      </c>
      <c r="AA83" s="12" t="s">
        <v>102</v>
      </c>
      <c r="AB83" s="12" t="s">
        <v>839</v>
      </c>
      <c r="AC83" s="12" t="s">
        <v>840</v>
      </c>
      <c r="AD83" s="12" t="s">
        <v>841</v>
      </c>
      <c r="AE83" s="12" t="s">
        <v>106</v>
      </c>
      <c r="AF83" s="12" t="s">
        <v>842</v>
      </c>
      <c r="AG83" s="12" t="s">
        <v>843</v>
      </c>
    </row>
    <row r="84" customFormat="false" ht="60" hidden="false" customHeight="true" outlineLevel="0" collapsed="false">
      <c r="A84" s="17" t="s">
        <v>279</v>
      </c>
      <c r="B84" s="16" t="n">
        <v>5</v>
      </c>
      <c r="C84" s="12" t="s">
        <v>297</v>
      </c>
      <c r="D84" s="11" t="s">
        <v>110</v>
      </c>
      <c r="E84" s="12" t="s">
        <v>844</v>
      </c>
      <c r="F84" s="12" t="s">
        <v>845</v>
      </c>
      <c r="G84" s="11"/>
      <c r="H84" s="12" t="s">
        <v>487</v>
      </c>
      <c r="I84" s="12" t="s">
        <v>134</v>
      </c>
      <c r="J84" s="14" t="s">
        <v>85</v>
      </c>
      <c r="K84" s="11" t="s">
        <v>86</v>
      </c>
      <c r="L84" s="11" t="s">
        <v>87</v>
      </c>
      <c r="M84" s="12" t="s">
        <v>301</v>
      </c>
      <c r="N84" s="12" t="s">
        <v>89</v>
      </c>
      <c r="O84" s="15" t="s">
        <v>846</v>
      </c>
      <c r="P84" s="11" t="s">
        <v>136</v>
      </c>
      <c r="Q84" s="12" t="s">
        <v>847</v>
      </c>
      <c r="R84" s="12" t="s">
        <v>848</v>
      </c>
      <c r="S84" s="12" t="s">
        <v>849</v>
      </c>
      <c r="T84" s="11" t="s">
        <v>95</v>
      </c>
      <c r="U84" s="11" t="s">
        <v>261</v>
      </c>
      <c r="V84" s="11" t="s">
        <v>97</v>
      </c>
      <c r="W84" s="12" t="s">
        <v>850</v>
      </c>
      <c r="X84" s="11" t="s">
        <v>851</v>
      </c>
      <c r="Y84" s="12" t="s">
        <v>852</v>
      </c>
      <c r="Z84" s="12" t="s">
        <v>101</v>
      </c>
      <c r="AA84" s="12" t="s">
        <v>310</v>
      </c>
      <c r="AB84" s="12" t="s">
        <v>853</v>
      </c>
      <c r="AC84" s="12" t="s">
        <v>854</v>
      </c>
      <c r="AD84" s="12" t="s">
        <v>855</v>
      </c>
      <c r="AE84" s="12" t="s">
        <v>106</v>
      </c>
      <c r="AF84" s="12"/>
      <c r="AG84" s="12" t="s">
        <v>856</v>
      </c>
    </row>
    <row r="85" customFormat="false" ht="60" hidden="false" customHeight="true" outlineLevel="0" collapsed="false">
      <c r="A85" s="17" t="s">
        <v>279</v>
      </c>
      <c r="B85" s="16" t="n">
        <v>5</v>
      </c>
      <c r="C85" s="12" t="s">
        <v>297</v>
      </c>
      <c r="D85" s="11" t="s">
        <v>110</v>
      </c>
      <c r="E85" s="12" t="s">
        <v>857</v>
      </c>
      <c r="F85" s="12" t="s">
        <v>858</v>
      </c>
      <c r="G85" s="11"/>
      <c r="H85" s="12" t="s">
        <v>487</v>
      </c>
      <c r="I85" s="12" t="s">
        <v>134</v>
      </c>
      <c r="J85" s="18" t="s">
        <v>513</v>
      </c>
      <c r="K85" s="11" t="s">
        <v>514</v>
      </c>
      <c r="L85" s="11" t="s">
        <v>87</v>
      </c>
      <c r="M85" s="12" t="s">
        <v>284</v>
      </c>
      <c r="N85" s="12" t="s">
        <v>89</v>
      </c>
      <c r="O85" s="15" t="s">
        <v>859</v>
      </c>
      <c r="P85" s="11" t="s">
        <v>136</v>
      </c>
      <c r="Q85" s="12" t="s">
        <v>860</v>
      </c>
      <c r="R85" s="12" t="s">
        <v>304</v>
      </c>
      <c r="S85" s="12" t="s">
        <v>861</v>
      </c>
      <c r="T85" s="11" t="s">
        <v>95</v>
      </c>
      <c r="U85" s="11" t="s">
        <v>862</v>
      </c>
      <c r="V85" s="11" t="s">
        <v>97</v>
      </c>
      <c r="W85" s="12" t="s">
        <v>863</v>
      </c>
      <c r="X85" s="11" t="s">
        <v>864</v>
      </c>
      <c r="Y85" s="12" t="s">
        <v>865</v>
      </c>
      <c r="Z85" s="12" t="s">
        <v>522</v>
      </c>
      <c r="AA85" s="12" t="s">
        <v>866</v>
      </c>
      <c r="AB85" s="12" t="s">
        <v>867</v>
      </c>
      <c r="AC85" s="12" t="s">
        <v>868</v>
      </c>
      <c r="AD85" s="12" t="s">
        <v>869</v>
      </c>
      <c r="AE85" s="12" t="s">
        <v>813</v>
      </c>
      <c r="AF85" s="12" t="s">
        <v>870</v>
      </c>
      <c r="AG85" s="12" t="s">
        <v>871</v>
      </c>
    </row>
    <row r="86" customFormat="false" ht="60" hidden="false" customHeight="true" outlineLevel="0" collapsed="false">
      <c r="A86" s="17" t="s">
        <v>279</v>
      </c>
      <c r="B86" s="16" t="n">
        <v>5</v>
      </c>
      <c r="C86" s="12" t="s">
        <v>297</v>
      </c>
      <c r="D86" s="11" t="s">
        <v>110</v>
      </c>
      <c r="E86" s="12" t="s">
        <v>872</v>
      </c>
      <c r="F86" s="12" t="s">
        <v>873</v>
      </c>
      <c r="G86" s="11"/>
      <c r="H86" s="12" t="s">
        <v>487</v>
      </c>
      <c r="I86" s="12" t="s">
        <v>134</v>
      </c>
      <c r="J86" s="14" t="s">
        <v>85</v>
      </c>
      <c r="K86" s="11" t="s">
        <v>86</v>
      </c>
      <c r="L86" s="11" t="s">
        <v>87</v>
      </c>
      <c r="M86" s="12" t="s">
        <v>284</v>
      </c>
      <c r="N86" s="12" t="s">
        <v>89</v>
      </c>
      <c r="O86" s="15" t="s">
        <v>874</v>
      </c>
      <c r="P86" s="11" t="s">
        <v>136</v>
      </c>
      <c r="Q86" s="12" t="s">
        <v>875</v>
      </c>
      <c r="R86" s="12" t="s">
        <v>876</v>
      </c>
      <c r="S86" s="12" t="s">
        <v>877</v>
      </c>
      <c r="T86" s="11" t="s">
        <v>95</v>
      </c>
      <c r="U86" s="11" t="s">
        <v>878</v>
      </c>
      <c r="V86" s="11" t="s">
        <v>97</v>
      </c>
      <c r="W86" s="12" t="s">
        <v>879</v>
      </c>
      <c r="X86" s="11" t="s">
        <v>880</v>
      </c>
      <c r="Y86" s="12" t="s">
        <v>881</v>
      </c>
      <c r="Z86" s="12" t="s">
        <v>101</v>
      </c>
      <c r="AA86" s="12" t="s">
        <v>310</v>
      </c>
      <c r="AB86" s="12" t="s">
        <v>882</v>
      </c>
      <c r="AC86" s="12" t="s">
        <v>883</v>
      </c>
      <c r="AD86" s="12" t="s">
        <v>884</v>
      </c>
      <c r="AE86" s="12" t="s">
        <v>127</v>
      </c>
      <c r="AF86" s="12" t="s">
        <v>885</v>
      </c>
      <c r="AG86" s="12" t="s">
        <v>886</v>
      </c>
    </row>
    <row r="87" customFormat="false" ht="60" hidden="false" customHeight="true" outlineLevel="0" collapsed="false">
      <c r="A87" s="17" t="s">
        <v>279</v>
      </c>
      <c r="B87" s="16" t="n">
        <v>5</v>
      </c>
      <c r="C87" s="12" t="s">
        <v>13</v>
      </c>
      <c r="D87" s="11" t="s">
        <v>80</v>
      </c>
      <c r="E87" s="12" t="s">
        <v>887</v>
      </c>
      <c r="F87" s="12" t="s">
        <v>888</v>
      </c>
      <c r="G87" s="11"/>
      <c r="H87" s="12" t="s">
        <v>544</v>
      </c>
      <c r="I87" s="12" t="s">
        <v>86</v>
      </c>
      <c r="J87" s="14" t="s">
        <v>85</v>
      </c>
      <c r="K87" s="11" t="s">
        <v>86</v>
      </c>
      <c r="L87" s="11" t="s">
        <v>87</v>
      </c>
      <c r="M87" s="12" t="s">
        <v>88</v>
      </c>
      <c r="N87" s="12" t="s">
        <v>89</v>
      </c>
      <c r="O87" s="15" t="s">
        <v>889</v>
      </c>
      <c r="P87" s="11" t="s">
        <v>136</v>
      </c>
      <c r="Q87" s="12" t="s">
        <v>890</v>
      </c>
      <c r="R87" s="12" t="s">
        <v>891</v>
      </c>
      <c r="S87" s="12" t="s">
        <v>94</v>
      </c>
      <c r="T87" s="11" t="s">
        <v>95</v>
      </c>
      <c r="U87" s="11" t="s">
        <v>892</v>
      </c>
      <c r="V87" s="11" t="s">
        <v>97</v>
      </c>
      <c r="W87" s="12" t="s">
        <v>893</v>
      </c>
      <c r="X87" s="11" t="s">
        <v>894</v>
      </c>
      <c r="Y87" s="12" t="s">
        <v>895</v>
      </c>
      <c r="Z87" s="12" t="s">
        <v>101</v>
      </c>
      <c r="AA87" s="12" t="s">
        <v>102</v>
      </c>
      <c r="AB87" s="12" t="s">
        <v>896</v>
      </c>
      <c r="AC87" s="12" t="s">
        <v>897</v>
      </c>
      <c r="AD87" s="12" t="s">
        <v>898</v>
      </c>
      <c r="AE87" s="12" t="s">
        <v>127</v>
      </c>
      <c r="AF87" s="12" t="s">
        <v>899</v>
      </c>
      <c r="AG87" s="12" t="s">
        <v>900</v>
      </c>
    </row>
    <row r="88" customFormat="false" ht="60" hidden="false" customHeight="true" outlineLevel="0" collapsed="false">
      <c r="A88" s="17" t="s">
        <v>279</v>
      </c>
      <c r="B88" s="16" t="n">
        <v>5</v>
      </c>
      <c r="C88" s="12" t="s">
        <v>297</v>
      </c>
      <c r="D88" s="11" t="s">
        <v>110</v>
      </c>
      <c r="E88" s="12" t="s">
        <v>901</v>
      </c>
      <c r="F88" s="12" t="s">
        <v>902</v>
      </c>
      <c r="G88" s="11"/>
      <c r="H88" s="12" t="s">
        <v>487</v>
      </c>
      <c r="I88" s="12" t="s">
        <v>134</v>
      </c>
      <c r="J88" s="14" t="s">
        <v>113</v>
      </c>
      <c r="K88" s="11" t="s">
        <v>86</v>
      </c>
      <c r="L88" s="11" t="s">
        <v>114</v>
      </c>
      <c r="M88" s="12" t="s">
        <v>284</v>
      </c>
      <c r="N88" s="12" t="s">
        <v>89</v>
      </c>
      <c r="O88" s="15" t="s">
        <v>903</v>
      </c>
      <c r="P88" s="11" t="s">
        <v>136</v>
      </c>
      <c r="Q88" s="12" t="s">
        <v>904</v>
      </c>
      <c r="R88" s="12" t="s">
        <v>905</v>
      </c>
      <c r="S88" s="12" t="s">
        <v>906</v>
      </c>
      <c r="T88" s="11" t="s">
        <v>95</v>
      </c>
      <c r="U88" s="11" t="s">
        <v>261</v>
      </c>
      <c r="V88" s="11" t="s">
        <v>97</v>
      </c>
      <c r="W88" s="12" t="s">
        <v>907</v>
      </c>
      <c r="X88" s="11" t="s">
        <v>908</v>
      </c>
      <c r="Y88" s="12" t="s">
        <v>909</v>
      </c>
      <c r="Z88" s="12" t="s">
        <v>101</v>
      </c>
      <c r="AA88" s="12" t="s">
        <v>310</v>
      </c>
      <c r="AB88" s="12" t="s">
        <v>910</v>
      </c>
      <c r="AC88" s="12" t="s">
        <v>911</v>
      </c>
      <c r="AD88" s="12" t="s">
        <v>912</v>
      </c>
      <c r="AE88" s="12" t="s">
        <v>106</v>
      </c>
      <c r="AF88" s="12"/>
      <c r="AG88" s="12" t="s">
        <v>913</v>
      </c>
    </row>
    <row r="89" customFormat="false" ht="60" hidden="false" customHeight="true" outlineLevel="0" collapsed="false">
      <c r="A89" s="17" t="s">
        <v>279</v>
      </c>
      <c r="B89" s="16" t="n">
        <v>5</v>
      </c>
      <c r="C89" s="12" t="s">
        <v>13</v>
      </c>
      <c r="D89" s="11" t="s">
        <v>80</v>
      </c>
      <c r="E89" s="12" t="s">
        <v>914</v>
      </c>
      <c r="F89" s="12" t="s">
        <v>915</v>
      </c>
      <c r="G89" s="11"/>
      <c r="H89" s="12" t="s">
        <v>544</v>
      </c>
      <c r="I89" s="12" t="s">
        <v>86</v>
      </c>
      <c r="J89" s="14" t="s">
        <v>85</v>
      </c>
      <c r="K89" s="11" t="s">
        <v>86</v>
      </c>
      <c r="L89" s="11" t="s">
        <v>87</v>
      </c>
      <c r="M89" s="12" t="s">
        <v>88</v>
      </c>
      <c r="N89" s="12" t="s">
        <v>916</v>
      </c>
      <c r="O89" s="15" t="s">
        <v>917</v>
      </c>
      <c r="P89" s="11" t="s">
        <v>136</v>
      </c>
      <c r="Q89" s="12" t="s">
        <v>918</v>
      </c>
      <c r="R89" s="12" t="s">
        <v>919</v>
      </c>
      <c r="S89" s="12" t="s">
        <v>182</v>
      </c>
      <c r="T89" s="11" t="s">
        <v>95</v>
      </c>
      <c r="U89" s="11" t="s">
        <v>920</v>
      </c>
      <c r="V89" s="11" t="s">
        <v>97</v>
      </c>
      <c r="W89" s="12" t="s">
        <v>921</v>
      </c>
      <c r="X89" s="11" t="s">
        <v>141</v>
      </c>
      <c r="Y89" s="12" t="s">
        <v>922</v>
      </c>
      <c r="Z89" s="12" t="s">
        <v>101</v>
      </c>
      <c r="AA89" s="12" t="s">
        <v>102</v>
      </c>
      <c r="AB89" s="12" t="s">
        <v>923</v>
      </c>
      <c r="AC89" s="12" t="s">
        <v>924</v>
      </c>
      <c r="AD89" s="12" t="s">
        <v>925</v>
      </c>
      <c r="AE89" s="12" t="s">
        <v>106</v>
      </c>
      <c r="AF89" s="12" t="s">
        <v>926</v>
      </c>
      <c r="AG89" s="12" t="s">
        <v>927</v>
      </c>
    </row>
    <row r="90" customFormat="false" ht="60" hidden="false" customHeight="true" outlineLevel="0" collapsed="false">
      <c r="A90" s="17" t="s">
        <v>279</v>
      </c>
      <c r="B90" s="16" t="n">
        <v>5</v>
      </c>
      <c r="C90" s="12" t="s">
        <v>297</v>
      </c>
      <c r="D90" s="11" t="s">
        <v>110</v>
      </c>
      <c r="E90" s="12" t="s">
        <v>928</v>
      </c>
      <c r="F90" s="12" t="s">
        <v>929</v>
      </c>
      <c r="G90" s="11"/>
      <c r="H90" s="12" t="s">
        <v>487</v>
      </c>
      <c r="I90" s="12" t="s">
        <v>134</v>
      </c>
      <c r="J90" s="14" t="s">
        <v>113</v>
      </c>
      <c r="K90" s="11" t="s">
        <v>86</v>
      </c>
      <c r="L90" s="11" t="s">
        <v>114</v>
      </c>
      <c r="M90" s="12" t="s">
        <v>284</v>
      </c>
      <c r="N90" s="12" t="s">
        <v>89</v>
      </c>
      <c r="O90" s="15" t="s">
        <v>930</v>
      </c>
      <c r="P90" s="11" t="s">
        <v>136</v>
      </c>
      <c r="Q90" s="12" t="s">
        <v>931</v>
      </c>
      <c r="R90" s="12" t="s">
        <v>932</v>
      </c>
      <c r="S90" s="12" t="s">
        <v>933</v>
      </c>
      <c r="T90" s="11" t="s">
        <v>95</v>
      </c>
      <c r="U90" s="11" t="s">
        <v>96</v>
      </c>
      <c r="V90" s="11" t="s">
        <v>97</v>
      </c>
      <c r="W90" s="12" t="s">
        <v>934</v>
      </c>
      <c r="X90" s="11" t="s">
        <v>935</v>
      </c>
      <c r="Y90" s="12" t="s">
        <v>936</v>
      </c>
      <c r="Z90" s="12" t="s">
        <v>101</v>
      </c>
      <c r="AA90" s="12" t="s">
        <v>310</v>
      </c>
      <c r="AB90" s="12" t="s">
        <v>937</v>
      </c>
      <c r="AC90" s="12" t="s">
        <v>938</v>
      </c>
      <c r="AD90" s="12" t="s">
        <v>939</v>
      </c>
      <c r="AE90" s="12" t="s">
        <v>106</v>
      </c>
      <c r="AF90" s="12" t="s">
        <v>940</v>
      </c>
      <c r="AG90" s="12" t="s">
        <v>941</v>
      </c>
    </row>
    <row r="91" customFormat="false" ht="60" hidden="false" customHeight="true" outlineLevel="0" collapsed="false">
      <c r="A91" s="17" t="s">
        <v>279</v>
      </c>
      <c r="B91" s="16" t="n">
        <v>5</v>
      </c>
      <c r="C91" s="12" t="s">
        <v>13</v>
      </c>
      <c r="D91" s="11" t="s">
        <v>80</v>
      </c>
      <c r="E91" s="12" t="s">
        <v>942</v>
      </c>
      <c r="F91" s="12" t="s">
        <v>943</v>
      </c>
      <c r="G91" s="11"/>
      <c r="H91" s="12" t="s">
        <v>544</v>
      </c>
      <c r="I91" s="12" t="s">
        <v>86</v>
      </c>
      <c r="J91" s="14" t="s">
        <v>85</v>
      </c>
      <c r="K91" s="11" t="s">
        <v>86</v>
      </c>
      <c r="L91" s="11" t="s">
        <v>87</v>
      </c>
      <c r="M91" s="12" t="s">
        <v>88</v>
      </c>
      <c r="N91" s="12" t="s">
        <v>89</v>
      </c>
      <c r="O91" s="15" t="s">
        <v>944</v>
      </c>
      <c r="P91" s="11" t="s">
        <v>628</v>
      </c>
      <c r="Q91" s="12" t="s">
        <v>546</v>
      </c>
      <c r="R91" s="12" t="s">
        <v>304</v>
      </c>
      <c r="S91" s="12" t="s">
        <v>182</v>
      </c>
      <c r="T91" s="11" t="s">
        <v>95</v>
      </c>
      <c r="U91" s="11" t="s">
        <v>261</v>
      </c>
      <c r="V91" s="11" t="s">
        <v>97</v>
      </c>
      <c r="W91" s="12" t="s">
        <v>945</v>
      </c>
      <c r="X91" s="11" t="s">
        <v>946</v>
      </c>
      <c r="Y91" s="12" t="s">
        <v>947</v>
      </c>
      <c r="Z91" s="12" t="s">
        <v>101</v>
      </c>
      <c r="AA91" s="12" t="s">
        <v>102</v>
      </c>
      <c r="AB91" s="12" t="s">
        <v>948</v>
      </c>
      <c r="AC91" s="12" t="s">
        <v>949</v>
      </c>
      <c r="AD91" s="12" t="s">
        <v>950</v>
      </c>
      <c r="AE91" s="12" t="s">
        <v>596</v>
      </c>
      <c r="AF91" s="12" t="s">
        <v>951</v>
      </c>
      <c r="AG91" s="12" t="s">
        <v>952</v>
      </c>
    </row>
    <row r="92" customFormat="false" ht="60" hidden="false" customHeight="true" outlineLevel="0" collapsed="false">
      <c r="A92" s="17" t="s">
        <v>279</v>
      </c>
      <c r="B92" s="16" t="n">
        <v>5</v>
      </c>
      <c r="C92" s="12" t="s">
        <v>13</v>
      </c>
      <c r="D92" s="11" t="s">
        <v>80</v>
      </c>
      <c r="E92" s="12" t="s">
        <v>953</v>
      </c>
      <c r="F92" s="12" t="s">
        <v>954</v>
      </c>
      <c r="G92" s="11"/>
      <c r="H92" s="12" t="s">
        <v>487</v>
      </c>
      <c r="I92" s="12" t="s">
        <v>134</v>
      </c>
      <c r="J92" s="14" t="s">
        <v>85</v>
      </c>
      <c r="K92" s="11" t="s">
        <v>86</v>
      </c>
      <c r="L92" s="11" t="s">
        <v>87</v>
      </c>
      <c r="M92" s="12" t="s">
        <v>88</v>
      </c>
      <c r="N92" s="12" t="s">
        <v>89</v>
      </c>
      <c r="O92" s="15" t="s">
        <v>955</v>
      </c>
      <c r="P92" s="11" t="s">
        <v>136</v>
      </c>
      <c r="Q92" s="12" t="s">
        <v>956</v>
      </c>
      <c r="R92" s="12" t="s">
        <v>957</v>
      </c>
      <c r="S92" s="12" t="s">
        <v>958</v>
      </c>
      <c r="T92" s="11" t="s">
        <v>183</v>
      </c>
      <c r="U92" s="11" t="s">
        <v>198</v>
      </c>
      <c r="V92" s="11" t="s">
        <v>97</v>
      </c>
      <c r="W92" s="12" t="s">
        <v>959</v>
      </c>
      <c r="X92" s="11" t="s">
        <v>141</v>
      </c>
      <c r="Y92" s="12" t="s">
        <v>960</v>
      </c>
      <c r="Z92" s="12" t="s">
        <v>101</v>
      </c>
      <c r="AA92" s="12" t="s">
        <v>102</v>
      </c>
      <c r="AB92" s="12" t="s">
        <v>961</v>
      </c>
      <c r="AC92" s="12" t="s">
        <v>962</v>
      </c>
      <c r="AD92" s="12" t="s">
        <v>963</v>
      </c>
      <c r="AE92" s="12" t="s">
        <v>106</v>
      </c>
      <c r="AF92" s="12" t="s">
        <v>964</v>
      </c>
      <c r="AG92" s="12" t="s">
        <v>965</v>
      </c>
    </row>
    <row r="93" customFormat="false" ht="60" hidden="false" customHeight="true" outlineLevel="0" collapsed="false">
      <c r="A93" s="17" t="s">
        <v>279</v>
      </c>
      <c r="B93" s="16" t="n">
        <v>5</v>
      </c>
      <c r="C93" s="12" t="s">
        <v>13</v>
      </c>
      <c r="D93" s="11" t="s">
        <v>80</v>
      </c>
      <c r="E93" s="12" t="s">
        <v>966</v>
      </c>
      <c r="F93" s="12" t="s">
        <v>967</v>
      </c>
      <c r="G93" s="11"/>
      <c r="H93" s="12" t="s">
        <v>487</v>
      </c>
      <c r="I93" s="12" t="s">
        <v>134</v>
      </c>
      <c r="J93" s="14" t="s">
        <v>85</v>
      </c>
      <c r="K93" s="11" t="s">
        <v>86</v>
      </c>
      <c r="L93" s="11" t="s">
        <v>87</v>
      </c>
      <c r="M93" s="12" t="s">
        <v>88</v>
      </c>
      <c r="N93" s="12" t="s">
        <v>968</v>
      </c>
      <c r="O93" s="15" t="s">
        <v>969</v>
      </c>
      <c r="P93" s="11" t="s">
        <v>628</v>
      </c>
      <c r="Q93" s="12" t="s">
        <v>970</v>
      </c>
      <c r="R93" s="12" t="s">
        <v>971</v>
      </c>
      <c r="S93" s="12" t="s">
        <v>182</v>
      </c>
      <c r="T93" s="11" t="s">
        <v>95</v>
      </c>
      <c r="U93" s="11" t="s">
        <v>878</v>
      </c>
      <c r="V93" s="11" t="s">
        <v>97</v>
      </c>
      <c r="W93" s="12" t="s">
        <v>972</v>
      </c>
      <c r="X93" s="11" t="s">
        <v>248</v>
      </c>
      <c r="Y93" s="12" t="s">
        <v>973</v>
      </c>
      <c r="Z93" s="12" t="s">
        <v>101</v>
      </c>
      <c r="AA93" s="12" t="s">
        <v>102</v>
      </c>
      <c r="AB93" s="12" t="s">
        <v>974</v>
      </c>
      <c r="AC93" s="12" t="s">
        <v>975</v>
      </c>
      <c r="AD93" s="12" t="s">
        <v>976</v>
      </c>
      <c r="AE93" s="12" t="s">
        <v>106</v>
      </c>
      <c r="AF93" s="12" t="s">
        <v>977</v>
      </c>
      <c r="AG93" s="12" t="s">
        <v>978</v>
      </c>
    </row>
    <row r="94" customFormat="false" ht="60" hidden="false" customHeight="true" outlineLevel="0" collapsed="false">
      <c r="A94" s="17" t="s">
        <v>279</v>
      </c>
      <c r="B94" s="11" t="n">
        <v>4</v>
      </c>
      <c r="C94" s="12" t="s">
        <v>13</v>
      </c>
      <c r="D94" s="11" t="s">
        <v>80</v>
      </c>
      <c r="E94" s="12" t="s">
        <v>979</v>
      </c>
      <c r="F94" s="12" t="s">
        <v>980</v>
      </c>
      <c r="G94" s="11"/>
      <c r="H94" s="12" t="s">
        <v>544</v>
      </c>
      <c r="I94" s="12" t="s">
        <v>86</v>
      </c>
      <c r="J94" s="14" t="s">
        <v>85</v>
      </c>
      <c r="K94" s="11" t="s">
        <v>86</v>
      </c>
      <c r="L94" s="11" t="s">
        <v>87</v>
      </c>
      <c r="M94" s="12" t="s">
        <v>301</v>
      </c>
      <c r="N94" s="12" t="s">
        <v>89</v>
      </c>
      <c r="O94" s="15" t="s">
        <v>981</v>
      </c>
      <c r="P94" s="11" t="s">
        <v>628</v>
      </c>
      <c r="Q94" s="12" t="s">
        <v>982</v>
      </c>
      <c r="R94" s="12" t="s">
        <v>983</v>
      </c>
      <c r="S94" s="12" t="s">
        <v>984</v>
      </c>
      <c r="T94" s="11" t="s">
        <v>183</v>
      </c>
      <c r="U94" s="11" t="s">
        <v>228</v>
      </c>
      <c r="V94" s="11" t="s">
        <v>97</v>
      </c>
      <c r="W94" s="12" t="s">
        <v>985</v>
      </c>
      <c r="X94" s="11" t="s">
        <v>86</v>
      </c>
      <c r="Y94" s="12" t="s">
        <v>986</v>
      </c>
      <c r="Z94" s="12" t="s">
        <v>101</v>
      </c>
      <c r="AA94" s="12" t="s">
        <v>102</v>
      </c>
      <c r="AB94" s="12" t="s">
        <v>987</v>
      </c>
      <c r="AC94" s="12" t="s">
        <v>988</v>
      </c>
      <c r="AD94" s="12" t="s">
        <v>989</v>
      </c>
      <c r="AE94" s="12" t="s">
        <v>106</v>
      </c>
      <c r="AF94" s="12" t="s">
        <v>990</v>
      </c>
      <c r="AG94" s="12" t="s">
        <v>991</v>
      </c>
    </row>
    <row r="95" customFormat="false" ht="60" hidden="false" customHeight="true" outlineLevel="0" collapsed="false">
      <c r="A95" s="17" t="s">
        <v>279</v>
      </c>
      <c r="B95" s="11" t="n">
        <v>4</v>
      </c>
      <c r="C95" s="12" t="s">
        <v>297</v>
      </c>
      <c r="D95" s="11" t="s">
        <v>110</v>
      </c>
      <c r="E95" s="12" t="s">
        <v>992</v>
      </c>
      <c r="F95" s="12" t="s">
        <v>993</v>
      </c>
      <c r="G95" s="11"/>
      <c r="H95" s="12" t="s">
        <v>487</v>
      </c>
      <c r="I95" s="12" t="s">
        <v>134</v>
      </c>
      <c r="J95" s="18" t="s">
        <v>513</v>
      </c>
      <c r="K95" s="11" t="s">
        <v>514</v>
      </c>
      <c r="L95" s="11" t="s">
        <v>87</v>
      </c>
      <c r="M95" s="12" t="s">
        <v>88</v>
      </c>
      <c r="N95" s="12" t="s">
        <v>89</v>
      </c>
      <c r="O95" s="15" t="s">
        <v>994</v>
      </c>
      <c r="P95" s="11" t="s">
        <v>136</v>
      </c>
      <c r="Q95" s="12" t="s">
        <v>995</v>
      </c>
      <c r="R95" s="12" t="s">
        <v>996</v>
      </c>
      <c r="S95" s="12" t="s">
        <v>997</v>
      </c>
      <c r="T95" s="11" t="s">
        <v>95</v>
      </c>
      <c r="U95" s="11" t="s">
        <v>878</v>
      </c>
      <c r="V95" s="11" t="s">
        <v>97</v>
      </c>
      <c r="W95" s="12" t="s">
        <v>998</v>
      </c>
      <c r="X95" s="11" t="s">
        <v>999</v>
      </c>
      <c r="Y95" s="12" t="s">
        <v>1000</v>
      </c>
      <c r="Z95" s="12" t="s">
        <v>522</v>
      </c>
      <c r="AA95" s="12" t="s">
        <v>866</v>
      </c>
      <c r="AB95" s="12" t="s">
        <v>1001</v>
      </c>
      <c r="AC95" s="12" t="s">
        <v>1002</v>
      </c>
      <c r="AD95" s="12" t="s">
        <v>1003</v>
      </c>
      <c r="AE95" s="12" t="s">
        <v>596</v>
      </c>
      <c r="AF95" s="12" t="s">
        <v>1004</v>
      </c>
      <c r="AG95" s="12" t="s">
        <v>1005</v>
      </c>
    </row>
    <row r="96" customFormat="false" ht="60" hidden="false" customHeight="true" outlineLevel="0" collapsed="false">
      <c r="A96" s="17" t="s">
        <v>279</v>
      </c>
      <c r="B96" s="11" t="n">
        <v>4</v>
      </c>
      <c r="C96" s="12" t="s">
        <v>297</v>
      </c>
      <c r="D96" s="11" t="s">
        <v>110</v>
      </c>
      <c r="E96" s="12" t="s">
        <v>1006</v>
      </c>
      <c r="F96" s="12" t="s">
        <v>1007</v>
      </c>
      <c r="G96" s="11"/>
      <c r="H96" s="12" t="s">
        <v>487</v>
      </c>
      <c r="I96" s="12" t="s">
        <v>134</v>
      </c>
      <c r="J96" s="14" t="s">
        <v>85</v>
      </c>
      <c r="K96" s="11" t="s">
        <v>86</v>
      </c>
      <c r="L96" s="11" t="s">
        <v>87</v>
      </c>
      <c r="M96" s="12" t="s">
        <v>301</v>
      </c>
      <c r="N96" s="12" t="s">
        <v>89</v>
      </c>
      <c r="O96" s="15" t="s">
        <v>1008</v>
      </c>
      <c r="P96" s="11" t="s">
        <v>136</v>
      </c>
      <c r="Q96" s="12" t="s">
        <v>1009</v>
      </c>
      <c r="R96" s="12" t="s">
        <v>1010</v>
      </c>
      <c r="S96" s="12" t="s">
        <v>1011</v>
      </c>
      <c r="T96" s="11" t="s">
        <v>95</v>
      </c>
      <c r="U96" s="11" t="s">
        <v>168</v>
      </c>
      <c r="V96" s="11" t="s">
        <v>97</v>
      </c>
      <c r="W96" s="12" t="s">
        <v>1012</v>
      </c>
      <c r="X96" s="11" t="s">
        <v>86</v>
      </c>
      <c r="Y96" s="12" t="s">
        <v>1013</v>
      </c>
      <c r="Z96" s="12" t="s">
        <v>101</v>
      </c>
      <c r="AA96" s="12" t="s">
        <v>310</v>
      </c>
      <c r="AB96" s="12" t="s">
        <v>1014</v>
      </c>
      <c r="AC96" s="12" t="s">
        <v>1015</v>
      </c>
      <c r="AD96" s="12" t="s">
        <v>1016</v>
      </c>
      <c r="AE96" s="12" t="s">
        <v>127</v>
      </c>
      <c r="AF96" s="12" t="s">
        <v>1017</v>
      </c>
      <c r="AG96" s="12" t="s">
        <v>1018</v>
      </c>
    </row>
    <row r="97" customFormat="false" ht="60" hidden="false" customHeight="true" outlineLevel="0" collapsed="false">
      <c r="A97" s="17" t="s">
        <v>279</v>
      </c>
      <c r="B97" s="11" t="n">
        <v>4</v>
      </c>
      <c r="C97" s="12" t="s">
        <v>13</v>
      </c>
      <c r="D97" s="11" t="s">
        <v>80</v>
      </c>
      <c r="E97" s="12" t="s">
        <v>1019</v>
      </c>
      <c r="F97" s="12" t="s">
        <v>1020</v>
      </c>
      <c r="G97" s="11"/>
      <c r="H97" s="12" t="s">
        <v>544</v>
      </c>
      <c r="I97" s="12" t="s">
        <v>86</v>
      </c>
      <c r="J97" s="14" t="s">
        <v>85</v>
      </c>
      <c r="K97" s="11" t="s">
        <v>86</v>
      </c>
      <c r="L97" s="11" t="s">
        <v>87</v>
      </c>
      <c r="M97" s="12" t="s">
        <v>88</v>
      </c>
      <c r="N97" s="12" t="s">
        <v>1021</v>
      </c>
      <c r="O97" s="15" t="s">
        <v>1022</v>
      </c>
      <c r="P97" s="11" t="s">
        <v>136</v>
      </c>
      <c r="Q97" s="12" t="s">
        <v>1023</v>
      </c>
      <c r="R97" s="12" t="s">
        <v>1024</v>
      </c>
      <c r="S97" s="12" t="s">
        <v>182</v>
      </c>
      <c r="T97" s="11" t="s">
        <v>95</v>
      </c>
      <c r="U97" s="11" t="s">
        <v>452</v>
      </c>
      <c r="V97" s="11" t="s">
        <v>97</v>
      </c>
      <c r="W97" s="12" t="s">
        <v>1025</v>
      </c>
      <c r="X97" s="11" t="s">
        <v>1026</v>
      </c>
      <c r="Y97" s="12" t="s">
        <v>1027</v>
      </c>
      <c r="Z97" s="12" t="s">
        <v>101</v>
      </c>
      <c r="AA97" s="12" t="s">
        <v>102</v>
      </c>
      <c r="AB97" s="12" t="s">
        <v>1028</v>
      </c>
      <c r="AC97" s="12" t="s">
        <v>1029</v>
      </c>
      <c r="AD97" s="12" t="s">
        <v>1030</v>
      </c>
      <c r="AE97" s="12" t="s">
        <v>596</v>
      </c>
      <c r="AF97" s="12" t="s">
        <v>1031</v>
      </c>
      <c r="AG97" s="12" t="s">
        <v>1032</v>
      </c>
    </row>
    <row r="98" customFormat="false" ht="60" hidden="false" customHeight="true" outlineLevel="0" collapsed="false">
      <c r="A98" s="17" t="s">
        <v>279</v>
      </c>
      <c r="B98" s="11" t="n">
        <v>4</v>
      </c>
      <c r="C98" s="12" t="s">
        <v>237</v>
      </c>
      <c r="D98" s="11" t="s">
        <v>110</v>
      </c>
      <c r="E98" s="12" t="s">
        <v>404</v>
      </c>
      <c r="F98" s="12" t="s">
        <v>1033</v>
      </c>
      <c r="G98" s="11"/>
      <c r="H98" s="12" t="s">
        <v>544</v>
      </c>
      <c r="I98" s="12" t="s">
        <v>86</v>
      </c>
      <c r="J98" s="14" t="s">
        <v>85</v>
      </c>
      <c r="K98" s="11" t="s">
        <v>86</v>
      </c>
      <c r="L98" s="11" t="s">
        <v>87</v>
      </c>
      <c r="M98" s="12" t="s">
        <v>284</v>
      </c>
      <c r="N98" s="12" t="s">
        <v>89</v>
      </c>
      <c r="O98" s="15" t="s">
        <v>1034</v>
      </c>
      <c r="P98" s="11" t="s">
        <v>136</v>
      </c>
      <c r="Q98" s="12" t="s">
        <v>1035</v>
      </c>
      <c r="R98" s="12" t="s">
        <v>1036</v>
      </c>
      <c r="S98" s="12" t="s">
        <v>1037</v>
      </c>
      <c r="T98" s="11" t="s">
        <v>95</v>
      </c>
      <c r="U98" s="11" t="s">
        <v>228</v>
      </c>
      <c r="V98" s="11" t="s">
        <v>97</v>
      </c>
      <c r="W98" s="12" t="s">
        <v>1038</v>
      </c>
      <c r="X98" s="11" t="s">
        <v>1039</v>
      </c>
      <c r="Y98" s="12" t="s">
        <v>1040</v>
      </c>
      <c r="Z98" s="12" t="s">
        <v>101</v>
      </c>
      <c r="AA98" s="12" t="s">
        <v>102</v>
      </c>
      <c r="AB98" s="12" t="s">
        <v>1041</v>
      </c>
      <c r="AC98" s="12" t="s">
        <v>1042</v>
      </c>
      <c r="AD98" s="12" t="s">
        <v>1043</v>
      </c>
      <c r="AE98" s="12" t="s">
        <v>106</v>
      </c>
      <c r="AF98" s="12" t="s">
        <v>1044</v>
      </c>
      <c r="AG98" s="12" t="s">
        <v>1045</v>
      </c>
    </row>
    <row r="99" customFormat="false" ht="60" hidden="false" customHeight="true" outlineLevel="0" collapsed="false">
      <c r="A99" s="17" t="s">
        <v>279</v>
      </c>
      <c r="B99" s="11" t="n">
        <v>4</v>
      </c>
      <c r="C99" s="12" t="s">
        <v>13</v>
      </c>
      <c r="D99" s="11" t="s">
        <v>80</v>
      </c>
      <c r="E99" s="12" t="s">
        <v>654</v>
      </c>
      <c r="F99" s="12" t="s">
        <v>1046</v>
      </c>
      <c r="G99" s="11"/>
      <c r="H99" s="12" t="s">
        <v>487</v>
      </c>
      <c r="I99" s="12" t="s">
        <v>134</v>
      </c>
      <c r="J99" s="14" t="s">
        <v>85</v>
      </c>
      <c r="K99" s="11" t="s">
        <v>86</v>
      </c>
      <c r="L99" s="11" t="s">
        <v>87</v>
      </c>
      <c r="M99" s="12" t="s">
        <v>333</v>
      </c>
      <c r="N99" s="12" t="s">
        <v>89</v>
      </c>
      <c r="O99" s="15" t="s">
        <v>1047</v>
      </c>
      <c r="P99" s="11" t="s">
        <v>136</v>
      </c>
      <c r="Q99" s="12" t="s">
        <v>1048</v>
      </c>
      <c r="R99" s="12" t="s">
        <v>659</v>
      </c>
      <c r="S99" s="12" t="s">
        <v>182</v>
      </c>
      <c r="T99" s="11" t="s">
        <v>183</v>
      </c>
      <c r="U99" s="11" t="s">
        <v>168</v>
      </c>
      <c r="V99" s="11" t="s">
        <v>97</v>
      </c>
      <c r="W99" s="12" t="s">
        <v>1049</v>
      </c>
      <c r="X99" s="11" t="s">
        <v>1050</v>
      </c>
      <c r="Y99" s="12" t="s">
        <v>1051</v>
      </c>
      <c r="Z99" s="12" t="s">
        <v>101</v>
      </c>
      <c r="AA99" s="12" t="s">
        <v>102</v>
      </c>
      <c r="AB99" s="12" t="s">
        <v>1052</v>
      </c>
      <c r="AC99" s="12" t="s">
        <v>1053</v>
      </c>
      <c r="AD99" s="12" t="s">
        <v>1054</v>
      </c>
      <c r="AE99" s="12" t="s">
        <v>127</v>
      </c>
      <c r="AF99" s="12" t="s">
        <v>1055</v>
      </c>
      <c r="AG99" s="12" t="s">
        <v>1056</v>
      </c>
    </row>
    <row r="100" customFormat="false" ht="60" hidden="false" customHeight="true" outlineLevel="0" collapsed="false">
      <c r="A100" s="17" t="s">
        <v>279</v>
      </c>
      <c r="B100" s="11" t="n">
        <v>4</v>
      </c>
      <c r="C100" s="12" t="s">
        <v>13</v>
      </c>
      <c r="D100" s="11" t="s">
        <v>80</v>
      </c>
      <c r="E100" s="12" t="s">
        <v>1057</v>
      </c>
      <c r="F100" s="12" t="s">
        <v>1058</v>
      </c>
      <c r="G100" s="11"/>
      <c r="H100" s="12" t="s">
        <v>544</v>
      </c>
      <c r="I100" s="12" t="s">
        <v>86</v>
      </c>
      <c r="J100" s="14" t="s">
        <v>85</v>
      </c>
      <c r="K100" s="11" t="s">
        <v>86</v>
      </c>
      <c r="L100" s="11" t="s">
        <v>87</v>
      </c>
      <c r="M100" s="12" t="s">
        <v>301</v>
      </c>
      <c r="N100" s="12" t="s">
        <v>89</v>
      </c>
      <c r="O100" s="15" t="s">
        <v>1059</v>
      </c>
      <c r="P100" s="11" t="s">
        <v>136</v>
      </c>
      <c r="Q100" s="12" t="s">
        <v>1060</v>
      </c>
      <c r="R100" s="12" t="s">
        <v>1061</v>
      </c>
      <c r="S100" s="12" t="s">
        <v>1062</v>
      </c>
      <c r="T100" s="11" t="s">
        <v>95</v>
      </c>
      <c r="U100" s="11" t="s">
        <v>452</v>
      </c>
      <c r="V100" s="11" t="s">
        <v>97</v>
      </c>
      <c r="W100" s="12" t="s">
        <v>1063</v>
      </c>
      <c r="X100" s="11" t="s">
        <v>1064</v>
      </c>
      <c r="Y100" s="12" t="s">
        <v>1065</v>
      </c>
      <c r="Z100" s="12" t="s">
        <v>101</v>
      </c>
      <c r="AA100" s="12" t="s">
        <v>102</v>
      </c>
      <c r="AB100" s="12" t="s">
        <v>1066</v>
      </c>
      <c r="AC100" s="12" t="s">
        <v>1067</v>
      </c>
      <c r="AD100" s="12" t="s">
        <v>1068</v>
      </c>
      <c r="AE100" s="12" t="s">
        <v>106</v>
      </c>
      <c r="AF100" s="12" t="s">
        <v>1069</v>
      </c>
      <c r="AG100" s="12" t="s">
        <v>1070</v>
      </c>
    </row>
    <row r="101" customFormat="false" ht="60" hidden="false" customHeight="true" outlineLevel="0" collapsed="false">
      <c r="A101" s="17" t="s">
        <v>279</v>
      </c>
      <c r="B101" s="11" t="n">
        <v>4</v>
      </c>
      <c r="C101" s="12" t="s">
        <v>109</v>
      </c>
      <c r="D101" s="11" t="s">
        <v>110</v>
      </c>
      <c r="E101" s="12" t="s">
        <v>1071</v>
      </c>
      <c r="F101" s="12" t="s">
        <v>1072</v>
      </c>
      <c r="G101" s="11"/>
      <c r="H101" s="12" t="s">
        <v>487</v>
      </c>
      <c r="I101" s="12" t="s">
        <v>134</v>
      </c>
      <c r="J101" s="14" t="s">
        <v>1073</v>
      </c>
      <c r="K101" s="11" t="s">
        <v>86</v>
      </c>
      <c r="L101" s="11" t="s">
        <v>114</v>
      </c>
      <c r="M101" s="12" t="s">
        <v>284</v>
      </c>
      <c r="N101" s="12" t="s">
        <v>89</v>
      </c>
      <c r="O101" s="15" t="s">
        <v>1074</v>
      </c>
      <c r="P101" s="11" t="s">
        <v>136</v>
      </c>
      <c r="Q101" s="12" t="s">
        <v>1075</v>
      </c>
      <c r="R101" s="12" t="s">
        <v>1076</v>
      </c>
      <c r="S101" s="12" t="s">
        <v>1077</v>
      </c>
      <c r="T101" s="11" t="s">
        <v>95</v>
      </c>
      <c r="U101" s="11" t="s">
        <v>1078</v>
      </c>
      <c r="V101" s="11" t="s">
        <v>97</v>
      </c>
      <c r="W101" s="12" t="s">
        <v>1079</v>
      </c>
      <c r="X101" s="11" t="s">
        <v>1080</v>
      </c>
      <c r="Y101" s="12" t="s">
        <v>1081</v>
      </c>
      <c r="Z101" s="12" t="s">
        <v>101</v>
      </c>
      <c r="AA101" s="12" t="s">
        <v>102</v>
      </c>
      <c r="AB101" s="12" t="s">
        <v>1082</v>
      </c>
      <c r="AC101" s="12" t="s">
        <v>1083</v>
      </c>
      <c r="AD101" s="12" t="s">
        <v>1084</v>
      </c>
      <c r="AE101" s="12" t="s">
        <v>106</v>
      </c>
      <c r="AF101" s="12" t="s">
        <v>1085</v>
      </c>
      <c r="AG101" s="12" t="s">
        <v>1086</v>
      </c>
    </row>
    <row r="102" customFormat="false" ht="60" hidden="false" customHeight="true" outlineLevel="0" collapsed="false">
      <c r="A102" s="17" t="s">
        <v>279</v>
      </c>
      <c r="B102" s="11" t="n">
        <v>4</v>
      </c>
      <c r="C102" s="12" t="s">
        <v>297</v>
      </c>
      <c r="D102" s="11" t="s">
        <v>110</v>
      </c>
      <c r="E102" s="12" t="s">
        <v>1071</v>
      </c>
      <c r="F102" s="12" t="s">
        <v>1087</v>
      </c>
      <c r="G102" s="11"/>
      <c r="H102" s="12" t="s">
        <v>544</v>
      </c>
      <c r="I102" s="12" t="s">
        <v>86</v>
      </c>
      <c r="J102" s="14" t="s">
        <v>85</v>
      </c>
      <c r="K102" s="11" t="s">
        <v>86</v>
      </c>
      <c r="L102" s="11" t="s">
        <v>87</v>
      </c>
      <c r="M102" s="12" t="s">
        <v>284</v>
      </c>
      <c r="N102" s="12" t="s">
        <v>89</v>
      </c>
      <c r="O102" s="15" t="s">
        <v>1088</v>
      </c>
      <c r="P102" s="11" t="s">
        <v>136</v>
      </c>
      <c r="Q102" s="12" t="s">
        <v>1089</v>
      </c>
      <c r="R102" s="12" t="s">
        <v>1076</v>
      </c>
      <c r="S102" s="12" t="s">
        <v>1090</v>
      </c>
      <c r="T102" s="11" t="s">
        <v>95</v>
      </c>
      <c r="U102" s="11" t="s">
        <v>1078</v>
      </c>
      <c r="V102" s="11" t="s">
        <v>97</v>
      </c>
      <c r="W102" s="12" t="s">
        <v>1091</v>
      </c>
      <c r="X102" s="11" t="s">
        <v>1092</v>
      </c>
      <c r="Y102" s="12" t="s">
        <v>1093</v>
      </c>
      <c r="Z102" s="12" t="s">
        <v>101</v>
      </c>
      <c r="AA102" s="12" t="s">
        <v>310</v>
      </c>
      <c r="AB102" s="12" t="s">
        <v>1094</v>
      </c>
      <c r="AC102" s="12" t="s">
        <v>1095</v>
      </c>
      <c r="AD102" s="12" t="s">
        <v>1096</v>
      </c>
      <c r="AE102" s="12" t="s">
        <v>127</v>
      </c>
      <c r="AF102" s="12"/>
      <c r="AG102" s="12" t="s">
        <v>1097</v>
      </c>
    </row>
    <row r="103" customFormat="false" ht="60" hidden="false" customHeight="true" outlineLevel="0" collapsed="false">
      <c r="A103" s="17" t="s">
        <v>279</v>
      </c>
      <c r="B103" s="11" t="n">
        <v>4</v>
      </c>
      <c r="C103" s="12" t="s">
        <v>109</v>
      </c>
      <c r="D103" s="11" t="s">
        <v>110</v>
      </c>
      <c r="E103" s="12" t="s">
        <v>1098</v>
      </c>
      <c r="F103" s="12" t="s">
        <v>1099</v>
      </c>
      <c r="G103" s="11"/>
      <c r="H103" s="12" t="s">
        <v>544</v>
      </c>
      <c r="I103" s="12" t="s">
        <v>86</v>
      </c>
      <c r="J103" s="14" t="s">
        <v>85</v>
      </c>
      <c r="K103" s="11" t="s">
        <v>86</v>
      </c>
      <c r="L103" s="11" t="s">
        <v>87</v>
      </c>
      <c r="M103" s="12" t="s">
        <v>88</v>
      </c>
      <c r="N103" s="12" t="s">
        <v>1100</v>
      </c>
      <c r="O103" s="15" t="s">
        <v>1101</v>
      </c>
      <c r="P103" s="11" t="s">
        <v>136</v>
      </c>
      <c r="Q103" s="12" t="s">
        <v>1102</v>
      </c>
      <c r="R103" s="12" t="s">
        <v>1103</v>
      </c>
      <c r="S103" s="12" t="s">
        <v>1104</v>
      </c>
      <c r="T103" s="11" t="s">
        <v>95</v>
      </c>
      <c r="U103" s="11" t="s">
        <v>184</v>
      </c>
      <c r="V103" s="11" t="s">
        <v>97</v>
      </c>
      <c r="W103" s="12" t="s">
        <v>1105</v>
      </c>
      <c r="X103" s="11" t="s">
        <v>1106</v>
      </c>
      <c r="Y103" s="12" t="s">
        <v>1107</v>
      </c>
      <c r="Z103" s="12" t="s">
        <v>101</v>
      </c>
      <c r="AA103" s="12" t="s">
        <v>102</v>
      </c>
      <c r="AB103" s="12" t="s">
        <v>1108</v>
      </c>
      <c r="AC103" s="12" t="s">
        <v>1109</v>
      </c>
      <c r="AD103" s="12" t="s">
        <v>1110</v>
      </c>
      <c r="AE103" s="12" t="s">
        <v>127</v>
      </c>
      <c r="AF103" s="12"/>
      <c r="AG103" s="12" t="s">
        <v>1111</v>
      </c>
    </row>
    <row r="104" customFormat="false" ht="60" hidden="false" customHeight="true" outlineLevel="0" collapsed="false">
      <c r="A104" s="17" t="s">
        <v>279</v>
      </c>
      <c r="B104" s="11" t="n">
        <v>4</v>
      </c>
      <c r="C104" s="12" t="s">
        <v>109</v>
      </c>
      <c r="D104" s="11" t="s">
        <v>110</v>
      </c>
      <c r="E104" s="12" t="s">
        <v>1112</v>
      </c>
      <c r="F104" s="12" t="s">
        <v>1113</v>
      </c>
      <c r="G104" s="11"/>
      <c r="H104" s="12" t="s">
        <v>544</v>
      </c>
      <c r="I104" s="12" t="s">
        <v>86</v>
      </c>
      <c r="J104" s="14" t="s">
        <v>240</v>
      </c>
      <c r="K104" s="11" t="s">
        <v>86</v>
      </c>
      <c r="L104" s="11" t="s">
        <v>87</v>
      </c>
      <c r="M104" s="12" t="s">
        <v>301</v>
      </c>
      <c r="N104" s="12" t="s">
        <v>1114</v>
      </c>
      <c r="O104" s="15" t="s">
        <v>1115</v>
      </c>
      <c r="P104" s="11" t="s">
        <v>628</v>
      </c>
      <c r="Q104" s="12" t="s">
        <v>1116</v>
      </c>
      <c r="R104" s="12" t="s">
        <v>1117</v>
      </c>
      <c r="S104" s="12" t="s">
        <v>1118</v>
      </c>
      <c r="T104" s="11" t="s">
        <v>95</v>
      </c>
      <c r="U104" s="11" t="s">
        <v>920</v>
      </c>
      <c r="V104" s="11" t="s">
        <v>97</v>
      </c>
      <c r="W104" s="12" t="s">
        <v>1119</v>
      </c>
      <c r="X104" s="11" t="s">
        <v>86</v>
      </c>
      <c r="Y104" s="12" t="s">
        <v>1120</v>
      </c>
      <c r="Z104" s="12" t="s">
        <v>101</v>
      </c>
      <c r="AA104" s="12" t="s">
        <v>102</v>
      </c>
      <c r="AB104" s="12" t="s">
        <v>1121</v>
      </c>
      <c r="AC104" s="12" t="s">
        <v>1122</v>
      </c>
      <c r="AD104" s="12" t="s">
        <v>1123</v>
      </c>
      <c r="AE104" s="12" t="s">
        <v>106</v>
      </c>
      <c r="AF104" s="12" t="s">
        <v>1124</v>
      </c>
      <c r="AG104" s="12" t="s">
        <v>1125</v>
      </c>
    </row>
    <row r="105" customFormat="false" ht="60" hidden="false" customHeight="true" outlineLevel="0" collapsed="false">
      <c r="A105" s="17" t="s">
        <v>279</v>
      </c>
      <c r="B105" s="11" t="n">
        <v>4</v>
      </c>
      <c r="C105" s="12" t="s">
        <v>297</v>
      </c>
      <c r="D105" s="11" t="s">
        <v>110</v>
      </c>
      <c r="E105" s="12" t="s">
        <v>699</v>
      </c>
      <c r="F105" s="12" t="s">
        <v>1126</v>
      </c>
      <c r="G105" s="11"/>
      <c r="H105" s="12" t="s">
        <v>487</v>
      </c>
      <c r="I105" s="12" t="s">
        <v>134</v>
      </c>
      <c r="J105" s="14" t="s">
        <v>85</v>
      </c>
      <c r="K105" s="11" t="s">
        <v>86</v>
      </c>
      <c r="L105" s="11" t="s">
        <v>87</v>
      </c>
      <c r="M105" s="12" t="s">
        <v>284</v>
      </c>
      <c r="N105" s="12" t="s">
        <v>89</v>
      </c>
      <c r="O105" s="15" t="s">
        <v>1127</v>
      </c>
      <c r="P105" s="11" t="s">
        <v>91</v>
      </c>
      <c r="Q105" s="12" t="s">
        <v>1128</v>
      </c>
      <c r="R105" s="12" t="s">
        <v>304</v>
      </c>
      <c r="S105" s="12" t="s">
        <v>703</v>
      </c>
      <c r="T105" s="11" t="s">
        <v>95</v>
      </c>
      <c r="U105" s="11" t="s">
        <v>704</v>
      </c>
      <c r="V105" s="11" t="s">
        <v>97</v>
      </c>
      <c r="W105" s="12" t="s">
        <v>1129</v>
      </c>
      <c r="X105" s="11" t="s">
        <v>1130</v>
      </c>
      <c r="Y105" s="12" t="s">
        <v>1131</v>
      </c>
      <c r="Z105" s="12" t="s">
        <v>101</v>
      </c>
      <c r="AA105" s="12" t="s">
        <v>310</v>
      </c>
      <c r="AB105" s="12" t="s">
        <v>1132</v>
      </c>
      <c r="AC105" s="12" t="s">
        <v>1133</v>
      </c>
      <c r="AD105" s="12" t="s">
        <v>1134</v>
      </c>
      <c r="AE105" s="12" t="s">
        <v>106</v>
      </c>
      <c r="AF105" s="12" t="s">
        <v>1135</v>
      </c>
      <c r="AG105" s="12" t="s">
        <v>1136</v>
      </c>
    </row>
    <row r="106" customFormat="false" ht="60" hidden="false" customHeight="true" outlineLevel="0" collapsed="false">
      <c r="A106" s="17" t="s">
        <v>279</v>
      </c>
      <c r="B106" s="11" t="n">
        <v>4</v>
      </c>
      <c r="C106" s="12" t="s">
        <v>109</v>
      </c>
      <c r="D106" s="11" t="s">
        <v>110</v>
      </c>
      <c r="E106" s="12" t="s">
        <v>1137</v>
      </c>
      <c r="F106" s="12" t="s">
        <v>1138</v>
      </c>
      <c r="G106" s="11"/>
      <c r="H106" s="12" t="s">
        <v>544</v>
      </c>
      <c r="I106" s="12" t="s">
        <v>86</v>
      </c>
      <c r="J106" s="14" t="s">
        <v>85</v>
      </c>
      <c r="K106" s="11" t="s">
        <v>86</v>
      </c>
      <c r="L106" s="11" t="s">
        <v>87</v>
      </c>
      <c r="M106" s="12" t="s">
        <v>301</v>
      </c>
      <c r="N106" s="12" t="s">
        <v>89</v>
      </c>
      <c r="O106" s="15" t="s">
        <v>1139</v>
      </c>
      <c r="P106" s="11" t="s">
        <v>136</v>
      </c>
      <c r="Q106" s="12" t="s">
        <v>1140</v>
      </c>
      <c r="R106" s="12" t="s">
        <v>1141</v>
      </c>
      <c r="S106" s="12" t="s">
        <v>1142</v>
      </c>
      <c r="T106" s="11" t="s">
        <v>183</v>
      </c>
      <c r="U106" s="11" t="s">
        <v>743</v>
      </c>
      <c r="V106" s="11" t="s">
        <v>97</v>
      </c>
      <c r="W106" s="12" t="s">
        <v>1143</v>
      </c>
      <c r="X106" s="11" t="s">
        <v>86</v>
      </c>
      <c r="Y106" s="12" t="s">
        <v>1144</v>
      </c>
      <c r="Z106" s="12" t="s">
        <v>101</v>
      </c>
      <c r="AA106" s="12" t="s">
        <v>102</v>
      </c>
      <c r="AB106" s="12" t="s">
        <v>1145</v>
      </c>
      <c r="AC106" s="12" t="s">
        <v>1146</v>
      </c>
      <c r="AD106" s="12" t="s">
        <v>1147</v>
      </c>
      <c r="AE106" s="12" t="s">
        <v>596</v>
      </c>
      <c r="AF106" s="12" t="s">
        <v>1148</v>
      </c>
      <c r="AG106" s="12" t="s">
        <v>1149</v>
      </c>
    </row>
    <row r="107" customFormat="false" ht="60" hidden="false" customHeight="true" outlineLevel="0" collapsed="false">
      <c r="A107" s="17" t="s">
        <v>279</v>
      </c>
      <c r="B107" s="11" t="n">
        <v>4</v>
      </c>
      <c r="C107" s="12" t="s">
        <v>297</v>
      </c>
      <c r="D107" s="11" t="s">
        <v>110</v>
      </c>
      <c r="E107" s="12" t="s">
        <v>1150</v>
      </c>
      <c r="F107" s="12" t="s">
        <v>1151</v>
      </c>
      <c r="G107" s="11"/>
      <c r="H107" s="12" t="s">
        <v>544</v>
      </c>
      <c r="I107" s="12" t="s">
        <v>86</v>
      </c>
      <c r="J107" s="14" t="s">
        <v>85</v>
      </c>
      <c r="K107" s="11" t="s">
        <v>86</v>
      </c>
      <c r="L107" s="11" t="s">
        <v>87</v>
      </c>
      <c r="M107" s="12" t="s">
        <v>284</v>
      </c>
      <c r="N107" s="12" t="s">
        <v>89</v>
      </c>
      <c r="O107" s="15" t="s">
        <v>1152</v>
      </c>
      <c r="P107" s="11" t="s">
        <v>136</v>
      </c>
      <c r="Q107" s="12" t="s">
        <v>1153</v>
      </c>
      <c r="R107" s="12" t="s">
        <v>1154</v>
      </c>
      <c r="S107" s="12" t="s">
        <v>861</v>
      </c>
      <c r="T107" s="11" t="s">
        <v>183</v>
      </c>
      <c r="U107" s="11" t="s">
        <v>743</v>
      </c>
      <c r="V107" s="11" t="s">
        <v>97</v>
      </c>
      <c r="W107" s="12" t="s">
        <v>1155</v>
      </c>
      <c r="X107" s="11" t="s">
        <v>1156</v>
      </c>
      <c r="Y107" s="12" t="s">
        <v>1157</v>
      </c>
      <c r="Z107" s="12" t="s">
        <v>101</v>
      </c>
      <c r="AA107" s="12" t="s">
        <v>310</v>
      </c>
      <c r="AB107" s="12" t="s">
        <v>1158</v>
      </c>
      <c r="AC107" s="12" t="s">
        <v>1159</v>
      </c>
      <c r="AD107" s="12" t="s">
        <v>1160</v>
      </c>
      <c r="AE107" s="12" t="s">
        <v>106</v>
      </c>
      <c r="AF107" s="12" t="s">
        <v>1161</v>
      </c>
      <c r="AG107" s="12" t="s">
        <v>1162</v>
      </c>
    </row>
    <row r="108" customFormat="false" ht="60" hidden="false" customHeight="true" outlineLevel="0" collapsed="false">
      <c r="A108" s="17" t="s">
        <v>279</v>
      </c>
      <c r="B108" s="11" t="n">
        <v>4</v>
      </c>
      <c r="C108" s="12" t="s">
        <v>109</v>
      </c>
      <c r="D108" s="11" t="s">
        <v>110</v>
      </c>
      <c r="E108" s="12" t="s">
        <v>1163</v>
      </c>
      <c r="F108" s="12" t="s">
        <v>1164</v>
      </c>
      <c r="G108" s="11"/>
      <c r="H108" s="12" t="s">
        <v>487</v>
      </c>
      <c r="I108" s="12" t="s">
        <v>134</v>
      </c>
      <c r="J108" s="14" t="s">
        <v>1073</v>
      </c>
      <c r="K108" s="11" t="s">
        <v>86</v>
      </c>
      <c r="L108" s="11" t="s">
        <v>114</v>
      </c>
      <c r="M108" s="12" t="s">
        <v>284</v>
      </c>
      <c r="N108" s="12" t="s">
        <v>89</v>
      </c>
      <c r="O108" s="15" t="s">
        <v>1165</v>
      </c>
      <c r="P108" s="11" t="s">
        <v>136</v>
      </c>
      <c r="Q108" s="12" t="s">
        <v>1116</v>
      </c>
      <c r="R108" s="12" t="s">
        <v>741</v>
      </c>
      <c r="S108" s="12" t="s">
        <v>1166</v>
      </c>
      <c r="T108" s="11" t="s">
        <v>183</v>
      </c>
      <c r="U108" s="11" t="s">
        <v>743</v>
      </c>
      <c r="V108" s="11" t="s">
        <v>97</v>
      </c>
      <c r="W108" s="12" t="s">
        <v>1167</v>
      </c>
      <c r="X108" s="11" t="s">
        <v>1168</v>
      </c>
      <c r="Y108" s="12" t="s">
        <v>1169</v>
      </c>
      <c r="Z108" s="12" t="s">
        <v>101</v>
      </c>
      <c r="AA108" s="12" t="s">
        <v>102</v>
      </c>
      <c r="AB108" s="12" t="s">
        <v>1170</v>
      </c>
      <c r="AC108" s="12" t="s">
        <v>1171</v>
      </c>
      <c r="AD108" s="12" t="s">
        <v>1172</v>
      </c>
      <c r="AE108" s="12" t="s">
        <v>106</v>
      </c>
      <c r="AF108" s="12" t="s">
        <v>1173</v>
      </c>
      <c r="AG108" s="12" t="s">
        <v>1174</v>
      </c>
    </row>
    <row r="109" customFormat="false" ht="60" hidden="false" customHeight="true" outlineLevel="0" collapsed="false">
      <c r="A109" s="17" t="s">
        <v>279</v>
      </c>
      <c r="B109" s="11" t="n">
        <v>4</v>
      </c>
      <c r="C109" s="12" t="s">
        <v>297</v>
      </c>
      <c r="D109" s="11" t="s">
        <v>110</v>
      </c>
      <c r="E109" s="12" t="s">
        <v>1163</v>
      </c>
      <c r="F109" s="12" t="s">
        <v>1175</v>
      </c>
      <c r="G109" s="11"/>
      <c r="H109" s="12" t="s">
        <v>487</v>
      </c>
      <c r="I109" s="12" t="s">
        <v>134</v>
      </c>
      <c r="J109" s="14" t="s">
        <v>113</v>
      </c>
      <c r="K109" s="11" t="s">
        <v>86</v>
      </c>
      <c r="L109" s="11" t="s">
        <v>114</v>
      </c>
      <c r="M109" s="12" t="s">
        <v>284</v>
      </c>
      <c r="N109" s="12" t="s">
        <v>89</v>
      </c>
      <c r="O109" s="15" t="s">
        <v>1176</v>
      </c>
      <c r="P109" s="11" t="s">
        <v>136</v>
      </c>
      <c r="Q109" s="12" t="s">
        <v>1177</v>
      </c>
      <c r="R109" s="12" t="s">
        <v>1178</v>
      </c>
      <c r="S109" s="12" t="s">
        <v>1179</v>
      </c>
      <c r="T109" s="11" t="s">
        <v>95</v>
      </c>
      <c r="U109" s="11" t="s">
        <v>743</v>
      </c>
      <c r="V109" s="11" t="s">
        <v>97</v>
      </c>
      <c r="W109" s="12" t="s">
        <v>1180</v>
      </c>
      <c r="X109" s="11" t="s">
        <v>1181</v>
      </c>
      <c r="Y109" s="12" t="s">
        <v>1182</v>
      </c>
      <c r="Z109" s="12" t="s">
        <v>101</v>
      </c>
      <c r="AA109" s="12" t="s">
        <v>310</v>
      </c>
      <c r="AB109" s="12" t="s">
        <v>1183</v>
      </c>
      <c r="AC109" s="12" t="s">
        <v>1184</v>
      </c>
      <c r="AD109" s="12" t="s">
        <v>1185</v>
      </c>
      <c r="AE109" s="12" t="s">
        <v>106</v>
      </c>
      <c r="AF109" s="12" t="s">
        <v>1186</v>
      </c>
      <c r="AG109" s="12" t="s">
        <v>1187</v>
      </c>
    </row>
    <row r="110" customFormat="false" ht="60" hidden="false" customHeight="true" outlineLevel="0" collapsed="false">
      <c r="A110" s="17" t="s">
        <v>279</v>
      </c>
      <c r="B110" s="11" t="n">
        <v>4</v>
      </c>
      <c r="C110" s="12" t="s">
        <v>297</v>
      </c>
      <c r="D110" s="11" t="s">
        <v>110</v>
      </c>
      <c r="E110" s="12" t="s">
        <v>737</v>
      </c>
      <c r="F110" s="12" t="s">
        <v>1188</v>
      </c>
      <c r="G110" s="11"/>
      <c r="H110" s="12" t="s">
        <v>544</v>
      </c>
      <c r="I110" s="12" t="s">
        <v>86</v>
      </c>
      <c r="J110" s="14" t="s">
        <v>113</v>
      </c>
      <c r="K110" s="11" t="s">
        <v>86</v>
      </c>
      <c r="L110" s="11" t="s">
        <v>114</v>
      </c>
      <c r="M110" s="12" t="s">
        <v>333</v>
      </c>
      <c r="N110" s="12" t="s">
        <v>89</v>
      </c>
      <c r="O110" s="15" t="s">
        <v>1189</v>
      </c>
      <c r="P110" s="11" t="s">
        <v>136</v>
      </c>
      <c r="Q110" s="12" t="s">
        <v>1190</v>
      </c>
      <c r="R110" s="12" t="s">
        <v>741</v>
      </c>
      <c r="S110" s="12" t="s">
        <v>1191</v>
      </c>
      <c r="T110" s="11" t="s">
        <v>183</v>
      </c>
      <c r="U110" s="11" t="s">
        <v>743</v>
      </c>
      <c r="V110" s="11" t="s">
        <v>97</v>
      </c>
      <c r="W110" s="12" t="s">
        <v>1192</v>
      </c>
      <c r="X110" s="11" t="s">
        <v>1193</v>
      </c>
      <c r="Y110" s="12" t="s">
        <v>1194</v>
      </c>
      <c r="Z110" s="12" t="s">
        <v>101</v>
      </c>
      <c r="AA110" s="12" t="s">
        <v>310</v>
      </c>
      <c r="AB110" s="12" t="s">
        <v>1195</v>
      </c>
      <c r="AC110" s="12" t="s">
        <v>1196</v>
      </c>
      <c r="AD110" s="12" t="s">
        <v>1197</v>
      </c>
      <c r="AE110" s="12" t="s">
        <v>106</v>
      </c>
      <c r="AF110" s="12" t="s">
        <v>1198</v>
      </c>
      <c r="AG110" s="12" t="s">
        <v>1199</v>
      </c>
    </row>
    <row r="111" customFormat="false" ht="60" hidden="false" customHeight="true" outlineLevel="0" collapsed="false">
      <c r="A111" s="17" t="s">
        <v>279</v>
      </c>
      <c r="B111" s="11" t="n">
        <v>4</v>
      </c>
      <c r="C111" s="12" t="s">
        <v>297</v>
      </c>
      <c r="D111" s="11" t="s">
        <v>110</v>
      </c>
      <c r="E111" s="12" t="s">
        <v>1200</v>
      </c>
      <c r="F111" s="12" t="s">
        <v>1201</v>
      </c>
      <c r="G111" s="11"/>
      <c r="H111" s="12" t="s">
        <v>487</v>
      </c>
      <c r="I111" s="12" t="s">
        <v>134</v>
      </c>
      <c r="J111" s="14" t="s">
        <v>113</v>
      </c>
      <c r="K111" s="11" t="s">
        <v>86</v>
      </c>
      <c r="L111" s="11" t="s">
        <v>114</v>
      </c>
      <c r="M111" s="12" t="s">
        <v>301</v>
      </c>
      <c r="N111" s="12" t="s">
        <v>89</v>
      </c>
      <c r="O111" s="15" t="s">
        <v>1202</v>
      </c>
      <c r="P111" s="11" t="s">
        <v>136</v>
      </c>
      <c r="Q111" s="12" t="s">
        <v>1203</v>
      </c>
      <c r="R111" s="12" t="s">
        <v>1204</v>
      </c>
      <c r="S111" s="12" t="s">
        <v>1205</v>
      </c>
      <c r="T111" s="11" t="s">
        <v>183</v>
      </c>
      <c r="U111" s="11" t="s">
        <v>1206</v>
      </c>
      <c r="V111" s="11" t="s">
        <v>97</v>
      </c>
      <c r="W111" s="12" t="s">
        <v>1207</v>
      </c>
      <c r="X111" s="11" t="s">
        <v>1208</v>
      </c>
      <c r="Y111" s="12" t="s">
        <v>1209</v>
      </c>
      <c r="Z111" s="12" t="s">
        <v>101</v>
      </c>
      <c r="AA111" s="12" t="s">
        <v>310</v>
      </c>
      <c r="AB111" s="12" t="s">
        <v>1210</v>
      </c>
      <c r="AC111" s="12" t="s">
        <v>1211</v>
      </c>
      <c r="AD111" s="12" t="s">
        <v>1212</v>
      </c>
      <c r="AE111" s="12" t="s">
        <v>106</v>
      </c>
      <c r="AF111" s="12" t="s">
        <v>1213</v>
      </c>
      <c r="AG111" s="12" t="s">
        <v>1214</v>
      </c>
    </row>
    <row r="112" customFormat="false" ht="60" hidden="false" customHeight="true" outlineLevel="0" collapsed="false">
      <c r="A112" s="17" t="s">
        <v>279</v>
      </c>
      <c r="B112" s="11" t="n">
        <v>4</v>
      </c>
      <c r="C112" s="12" t="s">
        <v>297</v>
      </c>
      <c r="D112" s="11" t="s">
        <v>110</v>
      </c>
      <c r="E112" s="12" t="s">
        <v>1215</v>
      </c>
      <c r="F112" s="12" t="s">
        <v>1216</v>
      </c>
      <c r="G112" s="11"/>
      <c r="H112" s="12" t="s">
        <v>487</v>
      </c>
      <c r="I112" s="12" t="s">
        <v>134</v>
      </c>
      <c r="J112" s="14" t="s">
        <v>85</v>
      </c>
      <c r="K112" s="11" t="s">
        <v>86</v>
      </c>
      <c r="L112" s="11" t="s">
        <v>87</v>
      </c>
      <c r="M112" s="12" t="s">
        <v>301</v>
      </c>
      <c r="N112" s="12" t="s">
        <v>89</v>
      </c>
      <c r="O112" s="15" t="s">
        <v>1217</v>
      </c>
      <c r="P112" s="11" t="s">
        <v>136</v>
      </c>
      <c r="Q112" s="12" t="s">
        <v>1218</v>
      </c>
      <c r="R112" s="12" t="s">
        <v>304</v>
      </c>
      <c r="S112" s="12" t="s">
        <v>1219</v>
      </c>
      <c r="T112" s="11" t="s">
        <v>183</v>
      </c>
      <c r="U112" s="11" t="s">
        <v>306</v>
      </c>
      <c r="V112" s="11" t="s">
        <v>97</v>
      </c>
      <c r="W112" s="12" t="s">
        <v>1220</v>
      </c>
      <c r="X112" s="11" t="s">
        <v>1221</v>
      </c>
      <c r="Y112" s="12" t="s">
        <v>1222</v>
      </c>
      <c r="Z112" s="12" t="s">
        <v>101</v>
      </c>
      <c r="AA112" s="12" t="s">
        <v>310</v>
      </c>
      <c r="AB112" s="12" t="s">
        <v>1223</v>
      </c>
      <c r="AC112" s="12" t="s">
        <v>1224</v>
      </c>
      <c r="AD112" s="12" t="s">
        <v>1225</v>
      </c>
      <c r="AE112" s="12" t="s">
        <v>813</v>
      </c>
      <c r="AF112" s="12" t="s">
        <v>1226</v>
      </c>
      <c r="AG112" s="12" t="s">
        <v>1227</v>
      </c>
    </row>
    <row r="113" customFormat="false" ht="60" hidden="false" customHeight="true" outlineLevel="0" collapsed="false">
      <c r="A113" s="17" t="s">
        <v>279</v>
      </c>
      <c r="B113" s="11" t="n">
        <v>4</v>
      </c>
      <c r="C113" s="12" t="s">
        <v>109</v>
      </c>
      <c r="D113" s="11" t="s">
        <v>110</v>
      </c>
      <c r="E113" s="12" t="s">
        <v>844</v>
      </c>
      <c r="F113" s="12" t="s">
        <v>1228</v>
      </c>
      <c r="G113" s="11"/>
      <c r="H113" s="12" t="s">
        <v>544</v>
      </c>
      <c r="I113" s="12" t="s">
        <v>86</v>
      </c>
      <c r="J113" s="14" t="s">
        <v>1073</v>
      </c>
      <c r="K113" s="11" t="s">
        <v>86</v>
      </c>
      <c r="L113" s="11" t="s">
        <v>114</v>
      </c>
      <c r="M113" s="12" t="s">
        <v>284</v>
      </c>
      <c r="N113" s="12" t="s">
        <v>89</v>
      </c>
      <c r="O113" s="15" t="s">
        <v>1229</v>
      </c>
      <c r="P113" s="11" t="s">
        <v>136</v>
      </c>
      <c r="Q113" s="12" t="s">
        <v>1230</v>
      </c>
      <c r="R113" s="12" t="s">
        <v>848</v>
      </c>
      <c r="S113" s="12" t="s">
        <v>1231</v>
      </c>
      <c r="T113" s="11" t="s">
        <v>95</v>
      </c>
      <c r="U113" s="11" t="s">
        <v>261</v>
      </c>
      <c r="V113" s="11" t="s">
        <v>97</v>
      </c>
      <c r="W113" s="12" t="s">
        <v>1232</v>
      </c>
      <c r="X113" s="11" t="s">
        <v>1233</v>
      </c>
      <c r="Y113" s="12" t="s">
        <v>1234</v>
      </c>
      <c r="Z113" s="12" t="s">
        <v>101</v>
      </c>
      <c r="AA113" s="12" t="s">
        <v>102</v>
      </c>
      <c r="AB113" s="12" t="s">
        <v>1235</v>
      </c>
      <c r="AC113" s="12" t="s">
        <v>1236</v>
      </c>
      <c r="AD113" s="12" t="s">
        <v>1237</v>
      </c>
      <c r="AE113" s="12" t="s">
        <v>106</v>
      </c>
      <c r="AF113" s="12" t="s">
        <v>1238</v>
      </c>
      <c r="AG113" s="12" t="s">
        <v>1239</v>
      </c>
    </row>
    <row r="114" customFormat="false" ht="60" hidden="false" customHeight="true" outlineLevel="0" collapsed="false">
      <c r="A114" s="17" t="s">
        <v>279</v>
      </c>
      <c r="B114" s="11" t="n">
        <v>4</v>
      </c>
      <c r="C114" s="12" t="s">
        <v>237</v>
      </c>
      <c r="D114" s="11" t="s">
        <v>110</v>
      </c>
      <c r="E114" s="12" t="s">
        <v>1240</v>
      </c>
      <c r="F114" s="12" t="s">
        <v>1241</v>
      </c>
      <c r="G114" s="11"/>
      <c r="H114" s="12" t="s">
        <v>487</v>
      </c>
      <c r="I114" s="12" t="s">
        <v>134</v>
      </c>
      <c r="J114" s="14" t="s">
        <v>113</v>
      </c>
      <c r="K114" s="11" t="s">
        <v>86</v>
      </c>
      <c r="L114" s="11" t="s">
        <v>114</v>
      </c>
      <c r="M114" s="12" t="s">
        <v>88</v>
      </c>
      <c r="N114" s="12" t="s">
        <v>89</v>
      </c>
      <c r="O114" s="15" t="s">
        <v>1242</v>
      </c>
      <c r="P114" s="11" t="s">
        <v>136</v>
      </c>
      <c r="Q114" s="12" t="s">
        <v>1243</v>
      </c>
      <c r="R114" s="12" t="s">
        <v>1244</v>
      </c>
      <c r="S114" s="12" t="s">
        <v>1245</v>
      </c>
      <c r="T114" s="11" t="s">
        <v>95</v>
      </c>
      <c r="U114" s="11" t="s">
        <v>862</v>
      </c>
      <c r="V114" s="11" t="s">
        <v>97</v>
      </c>
      <c r="W114" s="12" t="s">
        <v>1246</v>
      </c>
      <c r="X114" s="11" t="s">
        <v>324</v>
      </c>
      <c r="Y114" s="12" t="s">
        <v>1247</v>
      </c>
      <c r="Z114" s="12" t="s">
        <v>101</v>
      </c>
      <c r="AA114" s="12" t="s">
        <v>102</v>
      </c>
      <c r="AB114" s="12" t="s">
        <v>1248</v>
      </c>
      <c r="AC114" s="12" t="s">
        <v>1249</v>
      </c>
      <c r="AD114" s="12" t="s">
        <v>1250</v>
      </c>
      <c r="AE114" s="12" t="s">
        <v>106</v>
      </c>
      <c r="AF114" s="12"/>
      <c r="AG114" s="12" t="s">
        <v>1251</v>
      </c>
    </row>
    <row r="115" customFormat="false" ht="60" hidden="false" customHeight="true" outlineLevel="0" collapsed="false">
      <c r="A115" s="17" t="s">
        <v>279</v>
      </c>
      <c r="B115" s="11" t="n">
        <v>4</v>
      </c>
      <c r="C115" s="12" t="s">
        <v>297</v>
      </c>
      <c r="D115" s="11" t="s">
        <v>110</v>
      </c>
      <c r="E115" s="12" t="s">
        <v>1252</v>
      </c>
      <c r="F115" s="12" t="s">
        <v>1253</v>
      </c>
      <c r="G115" s="11"/>
      <c r="H115" s="12" t="s">
        <v>487</v>
      </c>
      <c r="I115" s="12" t="s">
        <v>134</v>
      </c>
      <c r="J115" s="14" t="s">
        <v>85</v>
      </c>
      <c r="K115" s="11" t="s">
        <v>86</v>
      </c>
      <c r="L115" s="11" t="s">
        <v>87</v>
      </c>
      <c r="M115" s="12" t="s">
        <v>301</v>
      </c>
      <c r="N115" s="12" t="s">
        <v>89</v>
      </c>
      <c r="O115" s="15" t="s">
        <v>1254</v>
      </c>
      <c r="P115" s="11" t="s">
        <v>628</v>
      </c>
      <c r="Q115" s="12" t="s">
        <v>1255</v>
      </c>
      <c r="R115" s="12" t="s">
        <v>1256</v>
      </c>
      <c r="S115" s="12" t="s">
        <v>1257</v>
      </c>
      <c r="T115" s="11" t="s">
        <v>95</v>
      </c>
      <c r="U115" s="11" t="s">
        <v>1078</v>
      </c>
      <c r="V115" s="11" t="s">
        <v>97</v>
      </c>
      <c r="W115" s="12" t="s">
        <v>1258</v>
      </c>
      <c r="X115" s="11" t="s">
        <v>1259</v>
      </c>
      <c r="Y115" s="12" t="s">
        <v>1260</v>
      </c>
      <c r="Z115" s="12" t="s">
        <v>101</v>
      </c>
      <c r="AA115" s="12" t="s">
        <v>310</v>
      </c>
      <c r="AB115" s="12" t="s">
        <v>1261</v>
      </c>
      <c r="AC115" s="12" t="s">
        <v>1262</v>
      </c>
      <c r="AD115" s="12" t="s">
        <v>1263</v>
      </c>
      <c r="AE115" s="12" t="s">
        <v>127</v>
      </c>
      <c r="AF115" s="12"/>
      <c r="AG115" s="12" t="s">
        <v>1264</v>
      </c>
    </row>
    <row r="116" customFormat="false" ht="60" hidden="false" customHeight="true" outlineLevel="0" collapsed="false">
      <c r="A116" s="17" t="s">
        <v>279</v>
      </c>
      <c r="B116" s="11" t="n">
        <v>4</v>
      </c>
      <c r="C116" s="12" t="s">
        <v>13</v>
      </c>
      <c r="D116" s="11" t="s">
        <v>80</v>
      </c>
      <c r="E116" s="12" t="s">
        <v>1265</v>
      </c>
      <c r="F116" s="12" t="s">
        <v>1266</v>
      </c>
      <c r="G116" s="11"/>
      <c r="H116" s="12" t="s">
        <v>544</v>
      </c>
      <c r="I116" s="12" t="s">
        <v>86</v>
      </c>
      <c r="J116" s="14" t="s">
        <v>85</v>
      </c>
      <c r="K116" s="11" t="s">
        <v>86</v>
      </c>
      <c r="L116" s="11" t="s">
        <v>87</v>
      </c>
      <c r="M116" s="12" t="s">
        <v>333</v>
      </c>
      <c r="N116" s="12" t="s">
        <v>89</v>
      </c>
      <c r="O116" s="15" t="s">
        <v>1267</v>
      </c>
      <c r="P116" s="11" t="s">
        <v>136</v>
      </c>
      <c r="Q116" s="12" t="s">
        <v>1268</v>
      </c>
      <c r="R116" s="12" t="s">
        <v>1269</v>
      </c>
      <c r="S116" s="12" t="s">
        <v>1270</v>
      </c>
      <c r="T116" s="11" t="s">
        <v>95</v>
      </c>
      <c r="U116" s="11" t="s">
        <v>1271</v>
      </c>
      <c r="V116" s="11" t="s">
        <v>97</v>
      </c>
      <c r="W116" s="12" t="s">
        <v>1272</v>
      </c>
      <c r="X116" s="11" t="s">
        <v>1273</v>
      </c>
      <c r="Y116" s="12" t="s">
        <v>1274</v>
      </c>
      <c r="Z116" s="12" t="s">
        <v>101</v>
      </c>
      <c r="AA116" s="12" t="s">
        <v>102</v>
      </c>
      <c r="AB116" s="12" t="s">
        <v>1275</v>
      </c>
      <c r="AC116" s="12" t="s">
        <v>1276</v>
      </c>
      <c r="AD116" s="12" t="s">
        <v>1277</v>
      </c>
      <c r="AE116" s="12" t="s">
        <v>106</v>
      </c>
      <c r="AF116" s="12" t="s">
        <v>1278</v>
      </c>
      <c r="AG116" s="12" t="s">
        <v>1279</v>
      </c>
    </row>
    <row r="117" customFormat="false" ht="60" hidden="false" customHeight="true" outlineLevel="0" collapsed="false">
      <c r="A117" s="17" t="s">
        <v>279</v>
      </c>
      <c r="B117" s="11" t="n">
        <v>4</v>
      </c>
      <c r="C117" s="12" t="s">
        <v>109</v>
      </c>
      <c r="D117" s="11" t="s">
        <v>110</v>
      </c>
      <c r="E117" s="12" t="s">
        <v>1280</v>
      </c>
      <c r="F117" s="12" t="s">
        <v>1281</v>
      </c>
      <c r="G117" s="11"/>
      <c r="H117" s="12" t="s">
        <v>487</v>
      </c>
      <c r="I117" s="12" t="s">
        <v>134</v>
      </c>
      <c r="J117" s="19" t="s">
        <v>1282</v>
      </c>
      <c r="K117" s="11" t="s">
        <v>531</v>
      </c>
      <c r="L117" s="11" t="s">
        <v>114</v>
      </c>
      <c r="M117" s="12" t="s">
        <v>284</v>
      </c>
      <c r="N117" s="12" t="s">
        <v>89</v>
      </c>
      <c r="O117" s="15" t="s">
        <v>1283</v>
      </c>
      <c r="P117" s="11" t="s">
        <v>136</v>
      </c>
      <c r="Q117" s="12" t="s">
        <v>1284</v>
      </c>
      <c r="R117" s="12" t="s">
        <v>1285</v>
      </c>
      <c r="S117" s="12" t="s">
        <v>1286</v>
      </c>
      <c r="T117" s="11" t="s">
        <v>95</v>
      </c>
      <c r="U117" s="11" t="s">
        <v>1287</v>
      </c>
      <c r="V117" s="11" t="s">
        <v>97</v>
      </c>
      <c r="W117" s="12" t="s">
        <v>1288</v>
      </c>
      <c r="X117" s="11" t="s">
        <v>1289</v>
      </c>
      <c r="Y117" s="12" t="s">
        <v>1290</v>
      </c>
      <c r="Z117" s="12" t="s">
        <v>101</v>
      </c>
      <c r="AA117" s="12" t="s">
        <v>536</v>
      </c>
      <c r="AB117" s="12" t="s">
        <v>1291</v>
      </c>
      <c r="AC117" s="12" t="s">
        <v>1292</v>
      </c>
      <c r="AD117" s="12" t="s">
        <v>1293</v>
      </c>
      <c r="AE117" s="12" t="s">
        <v>127</v>
      </c>
      <c r="AF117" s="12" t="s">
        <v>1294</v>
      </c>
      <c r="AG117" s="12" t="s">
        <v>1295</v>
      </c>
    </row>
    <row r="118" customFormat="false" ht="60" hidden="false" customHeight="true" outlineLevel="0" collapsed="false">
      <c r="A118" s="17" t="s">
        <v>279</v>
      </c>
      <c r="B118" s="11" t="n">
        <v>4</v>
      </c>
      <c r="C118" s="12" t="s">
        <v>297</v>
      </c>
      <c r="D118" s="11" t="s">
        <v>110</v>
      </c>
      <c r="E118" s="12" t="s">
        <v>1296</v>
      </c>
      <c r="F118" s="12" t="s">
        <v>1297</v>
      </c>
      <c r="G118" s="11"/>
      <c r="H118" s="12" t="s">
        <v>487</v>
      </c>
      <c r="I118" s="12" t="s">
        <v>134</v>
      </c>
      <c r="J118" s="14" t="s">
        <v>85</v>
      </c>
      <c r="K118" s="11" t="s">
        <v>86</v>
      </c>
      <c r="L118" s="11" t="s">
        <v>87</v>
      </c>
      <c r="M118" s="12" t="s">
        <v>284</v>
      </c>
      <c r="N118" s="12" t="s">
        <v>89</v>
      </c>
      <c r="O118" s="15" t="s">
        <v>1298</v>
      </c>
      <c r="P118" s="11" t="s">
        <v>136</v>
      </c>
      <c r="Q118" s="12" t="s">
        <v>1299</v>
      </c>
      <c r="R118" s="12" t="s">
        <v>1300</v>
      </c>
      <c r="S118" s="12" t="s">
        <v>1301</v>
      </c>
      <c r="T118" s="11" t="s">
        <v>183</v>
      </c>
      <c r="U118" s="11" t="s">
        <v>518</v>
      </c>
      <c r="V118" s="11" t="s">
        <v>97</v>
      </c>
      <c r="W118" s="12" t="s">
        <v>1302</v>
      </c>
      <c r="X118" s="11" t="s">
        <v>1303</v>
      </c>
      <c r="Y118" s="12" t="s">
        <v>1304</v>
      </c>
      <c r="Z118" s="12" t="s">
        <v>101</v>
      </c>
      <c r="AA118" s="12" t="s">
        <v>310</v>
      </c>
      <c r="AB118" s="12" t="s">
        <v>1305</v>
      </c>
      <c r="AC118" s="12" t="s">
        <v>1306</v>
      </c>
      <c r="AD118" s="12" t="s">
        <v>1307</v>
      </c>
      <c r="AE118" s="12" t="s">
        <v>106</v>
      </c>
      <c r="AF118" s="12"/>
      <c r="AG118" s="12" t="s">
        <v>1308</v>
      </c>
    </row>
    <row r="119" customFormat="false" ht="60" hidden="false" customHeight="true" outlineLevel="0" collapsed="false">
      <c r="A119" s="17" t="s">
        <v>279</v>
      </c>
      <c r="B119" s="11" t="n">
        <v>4</v>
      </c>
      <c r="C119" s="12" t="s">
        <v>13</v>
      </c>
      <c r="D119" s="11" t="s">
        <v>80</v>
      </c>
      <c r="E119" s="12" t="s">
        <v>1309</v>
      </c>
      <c r="F119" s="12" t="s">
        <v>1310</v>
      </c>
      <c r="G119" s="11"/>
      <c r="H119" s="12" t="s">
        <v>487</v>
      </c>
      <c r="I119" s="12" t="s">
        <v>134</v>
      </c>
      <c r="J119" s="14" t="s">
        <v>85</v>
      </c>
      <c r="K119" s="11" t="s">
        <v>86</v>
      </c>
      <c r="L119" s="11" t="s">
        <v>87</v>
      </c>
      <c r="M119" s="12" t="s">
        <v>88</v>
      </c>
      <c r="N119" s="12" t="s">
        <v>89</v>
      </c>
      <c r="O119" s="15" t="s">
        <v>1311</v>
      </c>
      <c r="P119" s="11" t="s">
        <v>91</v>
      </c>
      <c r="Q119" s="12" t="s">
        <v>1312</v>
      </c>
      <c r="R119" s="12" t="s">
        <v>1313</v>
      </c>
      <c r="S119" s="12" t="s">
        <v>1314</v>
      </c>
      <c r="T119" s="11" t="s">
        <v>95</v>
      </c>
      <c r="U119" s="11" t="s">
        <v>1315</v>
      </c>
      <c r="V119" s="11" t="s">
        <v>97</v>
      </c>
      <c r="W119" s="12" t="s">
        <v>1316</v>
      </c>
      <c r="X119" s="11" t="s">
        <v>425</v>
      </c>
      <c r="Y119" s="12" t="s">
        <v>1317</v>
      </c>
      <c r="Z119" s="12" t="s">
        <v>101</v>
      </c>
      <c r="AA119" s="12" t="s">
        <v>102</v>
      </c>
      <c r="AB119" s="12" t="s">
        <v>1318</v>
      </c>
      <c r="AC119" s="12" t="s">
        <v>1319</v>
      </c>
      <c r="AD119" s="12" t="s">
        <v>1320</v>
      </c>
      <c r="AE119" s="12" t="s">
        <v>106</v>
      </c>
      <c r="AF119" s="12" t="s">
        <v>1321</v>
      </c>
      <c r="AG119" s="12" t="s">
        <v>1322</v>
      </c>
    </row>
    <row r="120" customFormat="false" ht="60" hidden="false" customHeight="true" outlineLevel="0" collapsed="false">
      <c r="A120" s="17" t="s">
        <v>279</v>
      </c>
      <c r="B120" s="11" t="n">
        <v>4</v>
      </c>
      <c r="C120" s="12" t="s">
        <v>13</v>
      </c>
      <c r="D120" s="11" t="s">
        <v>80</v>
      </c>
      <c r="E120" s="12" t="s">
        <v>1309</v>
      </c>
      <c r="F120" s="12" t="s">
        <v>1323</v>
      </c>
      <c r="G120" s="11"/>
      <c r="H120" s="12" t="s">
        <v>487</v>
      </c>
      <c r="I120" s="12" t="s">
        <v>134</v>
      </c>
      <c r="J120" s="14" t="s">
        <v>85</v>
      </c>
      <c r="K120" s="11" t="s">
        <v>86</v>
      </c>
      <c r="L120" s="11" t="s">
        <v>87</v>
      </c>
      <c r="M120" s="12" t="s">
        <v>333</v>
      </c>
      <c r="N120" s="12" t="s">
        <v>89</v>
      </c>
      <c r="O120" s="15" t="s">
        <v>1321</v>
      </c>
      <c r="P120" s="11" t="s">
        <v>136</v>
      </c>
      <c r="Q120" s="12" t="s">
        <v>86</v>
      </c>
      <c r="R120" s="12" t="s">
        <v>1324</v>
      </c>
      <c r="S120" s="12" t="s">
        <v>182</v>
      </c>
      <c r="T120" s="11" t="s">
        <v>95</v>
      </c>
      <c r="U120" s="11" t="s">
        <v>1315</v>
      </c>
      <c r="V120" s="11" t="s">
        <v>97</v>
      </c>
      <c r="W120" s="12" t="s">
        <v>1325</v>
      </c>
      <c r="X120" s="11" t="s">
        <v>1326</v>
      </c>
      <c r="Y120" s="12" t="s">
        <v>1327</v>
      </c>
      <c r="Z120" s="12" t="s">
        <v>101</v>
      </c>
      <c r="AA120" s="12" t="s">
        <v>102</v>
      </c>
      <c r="AB120" s="12" t="s">
        <v>1328</v>
      </c>
      <c r="AC120" s="12" t="s">
        <v>1329</v>
      </c>
      <c r="AD120" s="12" t="s">
        <v>1330</v>
      </c>
      <c r="AE120" s="12" t="s">
        <v>813</v>
      </c>
      <c r="AF120" s="12"/>
      <c r="AG120" s="12" t="s">
        <v>1331</v>
      </c>
    </row>
    <row r="121" customFormat="false" ht="60" hidden="false" customHeight="true" outlineLevel="0" collapsed="false">
      <c r="A121" s="17" t="s">
        <v>279</v>
      </c>
      <c r="B121" s="11" t="n">
        <v>4</v>
      </c>
      <c r="C121" s="12" t="s">
        <v>13</v>
      </c>
      <c r="D121" s="11" t="s">
        <v>80</v>
      </c>
      <c r="E121" s="12" t="s">
        <v>953</v>
      </c>
      <c r="F121" s="12" t="s">
        <v>1332</v>
      </c>
      <c r="G121" s="11"/>
      <c r="H121" s="12" t="s">
        <v>487</v>
      </c>
      <c r="I121" s="12" t="s">
        <v>134</v>
      </c>
      <c r="J121" s="14" t="s">
        <v>113</v>
      </c>
      <c r="K121" s="11" t="s">
        <v>86</v>
      </c>
      <c r="L121" s="11" t="s">
        <v>114</v>
      </c>
      <c r="M121" s="12" t="s">
        <v>88</v>
      </c>
      <c r="N121" s="12" t="s">
        <v>89</v>
      </c>
      <c r="O121" s="15" t="s">
        <v>1333</v>
      </c>
      <c r="P121" s="11" t="s">
        <v>628</v>
      </c>
      <c r="Q121" s="12" t="s">
        <v>956</v>
      </c>
      <c r="R121" s="12" t="s">
        <v>957</v>
      </c>
      <c r="S121" s="12" t="s">
        <v>1334</v>
      </c>
      <c r="T121" s="11" t="s">
        <v>183</v>
      </c>
      <c r="U121" s="11" t="s">
        <v>198</v>
      </c>
      <c r="V121" s="11" t="s">
        <v>97</v>
      </c>
      <c r="W121" s="12" t="s">
        <v>1335</v>
      </c>
      <c r="X121" s="11" t="s">
        <v>141</v>
      </c>
      <c r="Y121" s="12" t="s">
        <v>1336</v>
      </c>
      <c r="Z121" s="12" t="s">
        <v>101</v>
      </c>
      <c r="AA121" s="12" t="s">
        <v>102</v>
      </c>
      <c r="AB121" s="12" t="s">
        <v>1337</v>
      </c>
      <c r="AC121" s="12" t="s">
        <v>1338</v>
      </c>
      <c r="AD121" s="12" t="s">
        <v>1339</v>
      </c>
      <c r="AE121" s="12" t="s">
        <v>127</v>
      </c>
      <c r="AF121" s="12"/>
      <c r="AG121" s="12" t="s">
        <v>1340</v>
      </c>
    </row>
    <row r="122" customFormat="false" ht="60" hidden="false" customHeight="true" outlineLevel="0" collapsed="false">
      <c r="A122" s="21" t="s">
        <v>1341</v>
      </c>
      <c r="B122" s="11" t="n">
        <v>4</v>
      </c>
      <c r="C122" s="12" t="s">
        <v>13</v>
      </c>
      <c r="D122" s="11" t="s">
        <v>80</v>
      </c>
      <c r="E122" s="12" t="s">
        <v>1342</v>
      </c>
      <c r="F122" s="12" t="s">
        <v>1343</v>
      </c>
      <c r="G122" s="13" t="n">
        <v>46295</v>
      </c>
      <c r="H122" s="12" t="s">
        <v>83</v>
      </c>
      <c r="I122" s="12" t="s">
        <v>1344</v>
      </c>
      <c r="J122" s="14" t="s">
        <v>85</v>
      </c>
      <c r="K122" s="11" t="s">
        <v>86</v>
      </c>
      <c r="L122" s="11" t="s">
        <v>87</v>
      </c>
      <c r="M122" s="12" t="s">
        <v>333</v>
      </c>
      <c r="N122" s="12" t="s">
        <v>89</v>
      </c>
      <c r="O122" s="15" t="s">
        <v>1345</v>
      </c>
      <c r="P122" s="11" t="s">
        <v>628</v>
      </c>
      <c r="Q122" s="12" t="s">
        <v>1346</v>
      </c>
      <c r="R122" s="12" t="s">
        <v>1347</v>
      </c>
      <c r="S122" s="12" t="s">
        <v>182</v>
      </c>
      <c r="T122" s="11" t="s">
        <v>183</v>
      </c>
      <c r="U122" s="11" t="s">
        <v>1348</v>
      </c>
      <c r="V122" s="11" t="s">
        <v>97</v>
      </c>
      <c r="W122" s="12" t="s">
        <v>1349</v>
      </c>
      <c r="X122" s="11" t="s">
        <v>1350</v>
      </c>
      <c r="Y122" s="12" t="s">
        <v>1351</v>
      </c>
      <c r="Z122" s="12" t="s">
        <v>101</v>
      </c>
      <c r="AA122" s="12" t="s">
        <v>102</v>
      </c>
      <c r="AB122" s="12" t="s">
        <v>1352</v>
      </c>
      <c r="AC122" s="12" t="s">
        <v>1353</v>
      </c>
      <c r="AD122" s="12" t="s">
        <v>1354</v>
      </c>
      <c r="AE122" s="12" t="s">
        <v>596</v>
      </c>
      <c r="AF122" s="12" t="s">
        <v>1355</v>
      </c>
      <c r="AG122" s="12" t="s">
        <v>1356</v>
      </c>
    </row>
    <row r="123" customFormat="false" ht="60" hidden="false" customHeight="true" outlineLevel="0" collapsed="false">
      <c r="A123" s="22" t="s">
        <v>1357</v>
      </c>
      <c r="B123" s="11" t="n">
        <v>4</v>
      </c>
      <c r="C123" s="12" t="s">
        <v>237</v>
      </c>
      <c r="D123" s="11" t="s">
        <v>110</v>
      </c>
      <c r="E123" s="12" t="s">
        <v>1358</v>
      </c>
      <c r="F123" s="12" t="s">
        <v>1359</v>
      </c>
      <c r="G123" s="13" t="n">
        <v>46314</v>
      </c>
      <c r="H123" s="12" t="s">
        <v>83</v>
      </c>
      <c r="I123" s="12" t="s">
        <v>1360</v>
      </c>
      <c r="J123" s="14" t="s">
        <v>85</v>
      </c>
      <c r="K123" s="11" t="s">
        <v>86</v>
      </c>
      <c r="L123" s="11" t="s">
        <v>87</v>
      </c>
      <c r="M123" s="12" t="s">
        <v>88</v>
      </c>
      <c r="N123" s="12" t="s">
        <v>89</v>
      </c>
      <c r="O123" s="15" t="s">
        <v>1361</v>
      </c>
      <c r="P123" s="11" t="s">
        <v>136</v>
      </c>
      <c r="Q123" s="12" t="s">
        <v>1362</v>
      </c>
      <c r="R123" s="12" t="s">
        <v>1363</v>
      </c>
      <c r="S123" s="12" t="s">
        <v>1364</v>
      </c>
      <c r="T123" s="11" t="s">
        <v>95</v>
      </c>
      <c r="U123" s="11" t="s">
        <v>246</v>
      </c>
      <c r="V123" s="11" t="s">
        <v>97</v>
      </c>
      <c r="W123" s="12" t="s">
        <v>1365</v>
      </c>
      <c r="X123" s="11" t="s">
        <v>141</v>
      </c>
      <c r="Y123" s="12" t="s">
        <v>1366</v>
      </c>
      <c r="Z123" s="12" t="s">
        <v>101</v>
      </c>
      <c r="AA123" s="12" t="s">
        <v>102</v>
      </c>
      <c r="AB123" s="12" t="s">
        <v>1367</v>
      </c>
      <c r="AC123" s="12" t="s">
        <v>1368</v>
      </c>
      <c r="AD123" s="12" t="s">
        <v>1369</v>
      </c>
      <c r="AE123" s="12" t="s">
        <v>127</v>
      </c>
      <c r="AF123" s="12" t="s">
        <v>1370</v>
      </c>
      <c r="AG123" s="12" t="s">
        <v>1371</v>
      </c>
    </row>
    <row r="124" customFormat="false" ht="60" hidden="false" customHeight="true" outlineLevel="0" collapsed="false">
      <c r="A124" s="22" t="s">
        <v>1357</v>
      </c>
      <c r="B124" s="16" t="n">
        <v>5</v>
      </c>
      <c r="C124" s="12" t="s">
        <v>109</v>
      </c>
      <c r="D124" s="11" t="s">
        <v>110</v>
      </c>
      <c r="E124" s="12" t="s">
        <v>1372</v>
      </c>
      <c r="F124" s="12" t="s">
        <v>1373</v>
      </c>
      <c r="G124" s="13" t="n">
        <v>46316</v>
      </c>
      <c r="H124" s="12" t="s">
        <v>83</v>
      </c>
      <c r="I124" s="12" t="s">
        <v>1374</v>
      </c>
      <c r="J124" s="14" t="s">
        <v>85</v>
      </c>
      <c r="K124" s="11" t="s">
        <v>86</v>
      </c>
      <c r="L124" s="11" t="s">
        <v>87</v>
      </c>
      <c r="M124" s="12" t="s">
        <v>284</v>
      </c>
      <c r="N124" s="12" t="s">
        <v>89</v>
      </c>
      <c r="O124" s="15" t="s">
        <v>1375</v>
      </c>
      <c r="P124" s="11" t="s">
        <v>91</v>
      </c>
      <c r="Q124" s="12" t="s">
        <v>1376</v>
      </c>
      <c r="R124" s="12" t="s">
        <v>304</v>
      </c>
      <c r="S124" s="12" t="s">
        <v>1377</v>
      </c>
      <c r="T124" s="11" t="s">
        <v>95</v>
      </c>
      <c r="U124" s="11" t="s">
        <v>892</v>
      </c>
      <c r="V124" s="11" t="s">
        <v>97</v>
      </c>
      <c r="W124" s="12" t="s">
        <v>1378</v>
      </c>
      <c r="X124" s="11" t="s">
        <v>1379</v>
      </c>
      <c r="Y124" s="12" t="s">
        <v>1380</v>
      </c>
      <c r="Z124" s="12" t="s">
        <v>101</v>
      </c>
      <c r="AA124" s="12" t="s">
        <v>102</v>
      </c>
      <c r="AB124" s="12" t="s">
        <v>1381</v>
      </c>
      <c r="AC124" s="12" t="s">
        <v>1382</v>
      </c>
      <c r="AD124" s="12" t="s">
        <v>1383</v>
      </c>
      <c r="AE124" s="12" t="s">
        <v>106</v>
      </c>
      <c r="AF124" s="12" t="s">
        <v>1384</v>
      </c>
      <c r="AG124" s="12" t="s">
        <v>1385</v>
      </c>
    </row>
    <row r="125" customFormat="false" ht="60" hidden="false" customHeight="true" outlineLevel="0" collapsed="false">
      <c r="A125" s="22" t="s">
        <v>1357</v>
      </c>
      <c r="B125" s="16" t="n">
        <v>5</v>
      </c>
      <c r="C125" s="12" t="s">
        <v>109</v>
      </c>
      <c r="D125" s="11" t="s">
        <v>110</v>
      </c>
      <c r="E125" s="12" t="s">
        <v>1372</v>
      </c>
      <c r="F125" s="12" t="s">
        <v>1386</v>
      </c>
      <c r="G125" s="13" t="n">
        <v>46317</v>
      </c>
      <c r="H125" s="12" t="s">
        <v>83</v>
      </c>
      <c r="I125" s="12" t="s">
        <v>1387</v>
      </c>
      <c r="J125" s="14" t="s">
        <v>85</v>
      </c>
      <c r="K125" s="11" t="s">
        <v>86</v>
      </c>
      <c r="L125" s="11" t="s">
        <v>87</v>
      </c>
      <c r="M125" s="12" t="s">
        <v>284</v>
      </c>
      <c r="N125" s="12" t="s">
        <v>89</v>
      </c>
      <c r="O125" s="15" t="s">
        <v>1388</v>
      </c>
      <c r="P125" s="11" t="s">
        <v>91</v>
      </c>
      <c r="Q125" s="12" t="s">
        <v>956</v>
      </c>
      <c r="R125" s="12" t="s">
        <v>304</v>
      </c>
      <c r="S125" s="12" t="s">
        <v>1389</v>
      </c>
      <c r="T125" s="11" t="s">
        <v>95</v>
      </c>
      <c r="U125" s="11" t="s">
        <v>892</v>
      </c>
      <c r="V125" s="11" t="s">
        <v>97</v>
      </c>
      <c r="W125" s="12" t="s">
        <v>1390</v>
      </c>
      <c r="X125" s="11" t="s">
        <v>1379</v>
      </c>
      <c r="Y125" s="12" t="s">
        <v>1391</v>
      </c>
      <c r="Z125" s="12" t="s">
        <v>101</v>
      </c>
      <c r="AA125" s="12" t="s">
        <v>102</v>
      </c>
      <c r="AB125" s="12" t="s">
        <v>1392</v>
      </c>
      <c r="AC125" s="12" t="s">
        <v>1393</v>
      </c>
      <c r="AD125" s="12" t="s">
        <v>1394</v>
      </c>
      <c r="AE125" s="12" t="s">
        <v>106</v>
      </c>
      <c r="AF125" s="12" t="s">
        <v>1395</v>
      </c>
      <c r="AG125" s="12" t="s">
        <v>1396</v>
      </c>
    </row>
    <row r="126" customFormat="false" ht="60" hidden="false" customHeight="true" outlineLevel="0" collapsed="false">
      <c r="A126" s="22" t="s">
        <v>1357</v>
      </c>
      <c r="B126" s="11" t="n">
        <v>4</v>
      </c>
      <c r="C126" s="12" t="s">
        <v>13</v>
      </c>
      <c r="D126" s="11" t="s">
        <v>80</v>
      </c>
      <c r="E126" s="12" t="s">
        <v>1397</v>
      </c>
      <c r="F126" s="12" t="s">
        <v>1398</v>
      </c>
      <c r="G126" s="13" t="n">
        <v>46318</v>
      </c>
      <c r="H126" s="12" t="s">
        <v>83</v>
      </c>
      <c r="I126" s="12" t="s">
        <v>1399</v>
      </c>
      <c r="J126" s="14" t="s">
        <v>85</v>
      </c>
      <c r="K126" s="11" t="s">
        <v>86</v>
      </c>
      <c r="L126" s="11" t="s">
        <v>87</v>
      </c>
      <c r="M126" s="12" t="s">
        <v>88</v>
      </c>
      <c r="N126" s="12" t="s">
        <v>89</v>
      </c>
      <c r="O126" s="15" t="s">
        <v>1400</v>
      </c>
      <c r="P126" s="11" t="s">
        <v>136</v>
      </c>
      <c r="Q126" s="12" t="s">
        <v>1401</v>
      </c>
      <c r="R126" s="12" t="s">
        <v>1402</v>
      </c>
      <c r="S126" s="12" t="s">
        <v>182</v>
      </c>
      <c r="T126" s="11" t="s">
        <v>95</v>
      </c>
      <c r="U126" s="11" t="s">
        <v>198</v>
      </c>
      <c r="V126" s="11" t="s">
        <v>97</v>
      </c>
      <c r="W126" s="12" t="s">
        <v>1403</v>
      </c>
      <c r="X126" s="11" t="s">
        <v>1404</v>
      </c>
      <c r="Y126" s="12" t="s">
        <v>1405</v>
      </c>
      <c r="Z126" s="12" t="s">
        <v>101</v>
      </c>
      <c r="AA126" s="12" t="s">
        <v>102</v>
      </c>
      <c r="AB126" s="12" t="s">
        <v>1406</v>
      </c>
      <c r="AC126" s="12" t="s">
        <v>1407</v>
      </c>
      <c r="AD126" s="12" t="s">
        <v>1408</v>
      </c>
      <c r="AE126" s="12" t="s">
        <v>106</v>
      </c>
      <c r="AF126" s="12" t="s">
        <v>1409</v>
      </c>
      <c r="AG126" s="12" t="s">
        <v>1410</v>
      </c>
    </row>
    <row r="127" customFormat="false" ht="60" hidden="false" customHeight="true" outlineLevel="0" collapsed="false">
      <c r="A127" s="22" t="s">
        <v>1357</v>
      </c>
      <c r="B127" s="16" t="n">
        <v>5</v>
      </c>
      <c r="C127" s="12" t="s">
        <v>237</v>
      </c>
      <c r="D127" s="11" t="s">
        <v>110</v>
      </c>
      <c r="E127" s="12" t="s">
        <v>887</v>
      </c>
      <c r="F127" s="12" t="s">
        <v>1411</v>
      </c>
      <c r="G127" s="13" t="n">
        <v>46324</v>
      </c>
      <c r="H127" s="12" t="s">
        <v>83</v>
      </c>
      <c r="I127" s="12" t="s">
        <v>1412</v>
      </c>
      <c r="J127" s="14" t="s">
        <v>85</v>
      </c>
      <c r="K127" s="11" t="s">
        <v>86</v>
      </c>
      <c r="L127" s="11" t="s">
        <v>87</v>
      </c>
      <c r="M127" s="12" t="s">
        <v>88</v>
      </c>
      <c r="N127" s="12" t="s">
        <v>89</v>
      </c>
      <c r="O127" s="15" t="s">
        <v>1413</v>
      </c>
      <c r="P127" s="11" t="s">
        <v>91</v>
      </c>
      <c r="Q127" s="12" t="s">
        <v>890</v>
      </c>
      <c r="R127" s="12" t="s">
        <v>891</v>
      </c>
      <c r="S127" s="12" t="s">
        <v>1414</v>
      </c>
      <c r="T127" s="11" t="s">
        <v>95</v>
      </c>
      <c r="U127" s="11" t="s">
        <v>892</v>
      </c>
      <c r="V127" s="11" t="s">
        <v>97</v>
      </c>
      <c r="W127" s="12" t="s">
        <v>1415</v>
      </c>
      <c r="X127" s="11" t="s">
        <v>894</v>
      </c>
      <c r="Y127" s="12" t="s">
        <v>1416</v>
      </c>
      <c r="Z127" s="12" t="s">
        <v>101</v>
      </c>
      <c r="AA127" s="12" t="s">
        <v>102</v>
      </c>
      <c r="AB127" s="12" t="s">
        <v>1417</v>
      </c>
      <c r="AC127" s="12" t="s">
        <v>1418</v>
      </c>
      <c r="AD127" s="12" t="s">
        <v>1419</v>
      </c>
      <c r="AE127" s="12" t="s">
        <v>127</v>
      </c>
      <c r="AF127" s="12" t="s">
        <v>1420</v>
      </c>
      <c r="AG127" s="12" t="s">
        <v>1421</v>
      </c>
    </row>
    <row r="128" customFormat="false" ht="60" hidden="false" customHeight="true" outlineLevel="0" collapsed="false">
      <c r="A128" s="22" t="s">
        <v>1357</v>
      </c>
      <c r="B128" s="16" t="n">
        <v>5</v>
      </c>
      <c r="C128" s="12" t="s">
        <v>13</v>
      </c>
      <c r="D128" s="11" t="s">
        <v>80</v>
      </c>
      <c r="E128" s="12" t="s">
        <v>1422</v>
      </c>
      <c r="F128" s="12" t="s">
        <v>1423</v>
      </c>
      <c r="G128" s="13" t="n">
        <v>46325</v>
      </c>
      <c r="H128" s="12" t="s">
        <v>83</v>
      </c>
      <c r="I128" s="12" t="s">
        <v>1424</v>
      </c>
      <c r="J128" s="14" t="s">
        <v>85</v>
      </c>
      <c r="K128" s="11" t="s">
        <v>86</v>
      </c>
      <c r="L128" s="11" t="s">
        <v>87</v>
      </c>
      <c r="M128" s="12" t="s">
        <v>88</v>
      </c>
      <c r="N128" s="12" t="s">
        <v>89</v>
      </c>
      <c r="O128" s="15" t="s">
        <v>1425</v>
      </c>
      <c r="P128" s="11" t="s">
        <v>91</v>
      </c>
      <c r="Q128" s="12" t="s">
        <v>1426</v>
      </c>
      <c r="R128" s="12" t="s">
        <v>1427</v>
      </c>
      <c r="S128" s="12" t="s">
        <v>182</v>
      </c>
      <c r="T128" s="11" t="s">
        <v>95</v>
      </c>
      <c r="U128" s="11" t="s">
        <v>96</v>
      </c>
      <c r="V128" s="11" t="s">
        <v>97</v>
      </c>
      <c r="W128" s="12" t="s">
        <v>1428</v>
      </c>
      <c r="X128" s="11" t="s">
        <v>248</v>
      </c>
      <c r="Y128" s="12" t="s">
        <v>1429</v>
      </c>
      <c r="Z128" s="12" t="s">
        <v>101</v>
      </c>
      <c r="AA128" s="12" t="s">
        <v>102</v>
      </c>
      <c r="AB128" s="12" t="s">
        <v>1430</v>
      </c>
      <c r="AC128" s="12" t="s">
        <v>1431</v>
      </c>
      <c r="AD128" s="12" t="s">
        <v>1432</v>
      </c>
      <c r="AE128" s="12" t="s">
        <v>106</v>
      </c>
      <c r="AF128" s="12" t="s">
        <v>1433</v>
      </c>
      <c r="AG128" s="12" t="s">
        <v>1434</v>
      </c>
    </row>
    <row r="129" customFormat="false" ht="60" hidden="false" customHeight="true" outlineLevel="0" collapsed="false">
      <c r="A129" s="22" t="s">
        <v>1357</v>
      </c>
      <c r="B129" s="16" t="n">
        <v>5</v>
      </c>
      <c r="C129" s="12" t="s">
        <v>13</v>
      </c>
      <c r="D129" s="11" t="s">
        <v>80</v>
      </c>
      <c r="E129" s="12" t="s">
        <v>1422</v>
      </c>
      <c r="F129" s="12" t="s">
        <v>1435</v>
      </c>
      <c r="G129" s="13" t="n">
        <v>46325</v>
      </c>
      <c r="H129" s="12" t="s">
        <v>83</v>
      </c>
      <c r="I129" s="12" t="s">
        <v>1424</v>
      </c>
      <c r="J129" s="14" t="s">
        <v>85</v>
      </c>
      <c r="K129" s="11" t="s">
        <v>86</v>
      </c>
      <c r="L129" s="11" t="s">
        <v>87</v>
      </c>
      <c r="M129" s="12" t="s">
        <v>88</v>
      </c>
      <c r="N129" s="12" t="s">
        <v>89</v>
      </c>
      <c r="O129" s="15" t="s">
        <v>1436</v>
      </c>
      <c r="P129" s="11" t="s">
        <v>91</v>
      </c>
      <c r="Q129" s="12" t="s">
        <v>1426</v>
      </c>
      <c r="R129" s="12" t="s">
        <v>1427</v>
      </c>
      <c r="S129" s="12" t="s">
        <v>94</v>
      </c>
      <c r="T129" s="11" t="s">
        <v>95</v>
      </c>
      <c r="U129" s="11" t="s">
        <v>96</v>
      </c>
      <c r="V129" s="11" t="s">
        <v>97</v>
      </c>
      <c r="W129" s="12" t="s">
        <v>1437</v>
      </c>
      <c r="X129" s="11" t="s">
        <v>248</v>
      </c>
      <c r="Y129" s="12" t="s">
        <v>1438</v>
      </c>
      <c r="Z129" s="12" t="s">
        <v>101</v>
      </c>
      <c r="AA129" s="12" t="s">
        <v>102</v>
      </c>
      <c r="AB129" s="12" t="s">
        <v>1439</v>
      </c>
      <c r="AC129" s="12" t="s">
        <v>1440</v>
      </c>
      <c r="AD129" s="12" t="s">
        <v>1441</v>
      </c>
      <c r="AE129" s="12" t="s">
        <v>106</v>
      </c>
      <c r="AF129" s="12" t="s">
        <v>1442</v>
      </c>
      <c r="AG129" s="12" t="s">
        <v>1443</v>
      </c>
    </row>
    <row r="130" customFormat="false" ht="60" hidden="false" customHeight="true" outlineLevel="0" collapsed="false">
      <c r="A130" s="22" t="s">
        <v>1357</v>
      </c>
      <c r="B130" s="16" t="n">
        <v>5</v>
      </c>
      <c r="C130" s="12" t="s">
        <v>297</v>
      </c>
      <c r="D130" s="11" t="s">
        <v>110</v>
      </c>
      <c r="E130" s="12" t="s">
        <v>1444</v>
      </c>
      <c r="F130" s="12" t="s">
        <v>1445</v>
      </c>
      <c r="G130" s="13" t="n">
        <v>46326</v>
      </c>
      <c r="H130" s="12" t="s">
        <v>133</v>
      </c>
      <c r="I130" s="12" t="s">
        <v>134</v>
      </c>
      <c r="J130" s="18" t="s">
        <v>513</v>
      </c>
      <c r="K130" s="11" t="s">
        <v>514</v>
      </c>
      <c r="L130" s="11" t="s">
        <v>87</v>
      </c>
      <c r="M130" s="12" t="s">
        <v>284</v>
      </c>
      <c r="N130" s="12" t="s">
        <v>89</v>
      </c>
      <c r="O130" s="15" t="s">
        <v>1446</v>
      </c>
      <c r="P130" s="11" t="s">
        <v>136</v>
      </c>
      <c r="Q130" s="12" t="s">
        <v>573</v>
      </c>
      <c r="R130" s="12" t="s">
        <v>1447</v>
      </c>
      <c r="S130" s="12" t="s">
        <v>1448</v>
      </c>
      <c r="T130" s="11" t="s">
        <v>183</v>
      </c>
      <c r="U130" s="11" t="s">
        <v>96</v>
      </c>
      <c r="V130" s="11" t="s">
        <v>97</v>
      </c>
      <c r="W130" s="12" t="s">
        <v>1449</v>
      </c>
      <c r="X130" s="11" t="s">
        <v>1450</v>
      </c>
      <c r="Y130" s="12" t="s">
        <v>1451</v>
      </c>
      <c r="Z130" s="12" t="s">
        <v>522</v>
      </c>
      <c r="AA130" s="12" t="s">
        <v>866</v>
      </c>
      <c r="AB130" s="12" t="s">
        <v>1452</v>
      </c>
      <c r="AC130" s="12" t="s">
        <v>1453</v>
      </c>
      <c r="AD130" s="12" t="s">
        <v>1454</v>
      </c>
      <c r="AE130" s="12" t="s">
        <v>106</v>
      </c>
      <c r="AF130" s="12" t="s">
        <v>1455</v>
      </c>
      <c r="AG130" s="12" t="s">
        <v>1456</v>
      </c>
    </row>
    <row r="131" customFormat="false" ht="60" hidden="false" customHeight="true" outlineLevel="0" collapsed="false">
      <c r="A131" s="22" t="s">
        <v>1357</v>
      </c>
      <c r="B131" s="11" t="n">
        <v>4</v>
      </c>
      <c r="C131" s="12" t="s">
        <v>109</v>
      </c>
      <c r="D131" s="11" t="s">
        <v>110</v>
      </c>
      <c r="E131" s="12" t="s">
        <v>1457</v>
      </c>
      <c r="F131" s="12" t="s">
        <v>1458</v>
      </c>
      <c r="G131" s="13" t="n">
        <v>46331</v>
      </c>
      <c r="H131" s="12" t="s">
        <v>83</v>
      </c>
      <c r="I131" s="12" t="s">
        <v>1459</v>
      </c>
      <c r="J131" s="14" t="s">
        <v>240</v>
      </c>
      <c r="K131" s="11" t="s">
        <v>86</v>
      </c>
      <c r="L131" s="11" t="s">
        <v>87</v>
      </c>
      <c r="M131" s="12" t="s">
        <v>88</v>
      </c>
      <c r="N131" s="12" t="s">
        <v>89</v>
      </c>
      <c r="O131" s="15" t="s">
        <v>1460</v>
      </c>
      <c r="P131" s="11" t="s">
        <v>91</v>
      </c>
      <c r="Q131" s="12" t="s">
        <v>1461</v>
      </c>
      <c r="R131" s="12" t="s">
        <v>304</v>
      </c>
      <c r="S131" s="12" t="s">
        <v>1462</v>
      </c>
      <c r="T131" s="11" t="s">
        <v>95</v>
      </c>
      <c r="U131" s="11" t="s">
        <v>213</v>
      </c>
      <c r="V131" s="11" t="s">
        <v>97</v>
      </c>
      <c r="W131" s="12" t="s">
        <v>1463</v>
      </c>
      <c r="X131" s="11" t="s">
        <v>1464</v>
      </c>
      <c r="Y131" s="12" t="s">
        <v>1465</v>
      </c>
      <c r="Z131" s="12" t="s">
        <v>101</v>
      </c>
      <c r="AA131" s="12" t="s">
        <v>102</v>
      </c>
      <c r="AB131" s="12" t="s">
        <v>1466</v>
      </c>
      <c r="AC131" s="12" t="s">
        <v>1467</v>
      </c>
      <c r="AD131" s="12" t="s">
        <v>1468</v>
      </c>
      <c r="AE131" s="12" t="s">
        <v>596</v>
      </c>
      <c r="AF131" s="12" t="s">
        <v>1469</v>
      </c>
      <c r="AG131" s="12" t="s">
        <v>1470</v>
      </c>
    </row>
    <row r="132" customFormat="false" ht="60" hidden="false" customHeight="true" outlineLevel="0" collapsed="false">
      <c r="A132" s="22" t="s">
        <v>1357</v>
      </c>
      <c r="B132" s="16" t="n">
        <v>5</v>
      </c>
      <c r="C132" s="12" t="s">
        <v>13</v>
      </c>
      <c r="D132" s="11" t="s">
        <v>80</v>
      </c>
      <c r="E132" s="12" t="s">
        <v>1471</v>
      </c>
      <c r="F132" s="12" t="s">
        <v>1472</v>
      </c>
      <c r="G132" s="13" t="n">
        <v>46334</v>
      </c>
      <c r="H132" s="12" t="s">
        <v>83</v>
      </c>
      <c r="I132" s="12" t="s">
        <v>1473</v>
      </c>
      <c r="J132" s="14" t="s">
        <v>85</v>
      </c>
      <c r="K132" s="11" t="s">
        <v>86</v>
      </c>
      <c r="L132" s="11" t="s">
        <v>87</v>
      </c>
      <c r="M132" s="12" t="s">
        <v>88</v>
      </c>
      <c r="N132" s="12" t="s">
        <v>1474</v>
      </c>
      <c r="O132" s="15" t="s">
        <v>1475</v>
      </c>
      <c r="P132" s="11" t="s">
        <v>91</v>
      </c>
      <c r="Q132" s="12" t="s">
        <v>602</v>
      </c>
      <c r="R132" s="12" t="s">
        <v>1476</v>
      </c>
      <c r="S132" s="12" t="s">
        <v>984</v>
      </c>
      <c r="T132" s="11" t="s">
        <v>95</v>
      </c>
      <c r="U132" s="11" t="s">
        <v>1477</v>
      </c>
      <c r="V132" s="11" t="s">
        <v>97</v>
      </c>
      <c r="W132" s="12" t="s">
        <v>1478</v>
      </c>
      <c r="X132" s="11" t="s">
        <v>141</v>
      </c>
      <c r="Y132" s="12" t="s">
        <v>1479</v>
      </c>
      <c r="Z132" s="12" t="s">
        <v>101</v>
      </c>
      <c r="AA132" s="12" t="s">
        <v>102</v>
      </c>
      <c r="AB132" s="12" t="s">
        <v>1480</v>
      </c>
      <c r="AC132" s="12" t="s">
        <v>1481</v>
      </c>
      <c r="AD132" s="12" t="s">
        <v>1482</v>
      </c>
      <c r="AE132" s="12" t="s">
        <v>127</v>
      </c>
      <c r="AF132" s="12" t="s">
        <v>1483</v>
      </c>
      <c r="AG132" s="12" t="s">
        <v>1484</v>
      </c>
    </row>
    <row r="133" customFormat="false" ht="60" hidden="false" customHeight="true" outlineLevel="0" collapsed="false">
      <c r="A133" s="22" t="s">
        <v>1357</v>
      </c>
      <c r="B133" s="16" t="n">
        <v>5</v>
      </c>
      <c r="C133" s="12" t="s">
        <v>13</v>
      </c>
      <c r="D133" s="11" t="s">
        <v>80</v>
      </c>
      <c r="E133" s="12" t="s">
        <v>1485</v>
      </c>
      <c r="F133" s="12" t="s">
        <v>1486</v>
      </c>
      <c r="G133" s="13" t="n">
        <v>46341</v>
      </c>
      <c r="H133" s="12" t="s">
        <v>83</v>
      </c>
      <c r="I133" s="12" t="s">
        <v>1487</v>
      </c>
      <c r="J133" s="14" t="s">
        <v>85</v>
      </c>
      <c r="K133" s="11" t="s">
        <v>86</v>
      </c>
      <c r="L133" s="11" t="s">
        <v>87</v>
      </c>
      <c r="M133" s="12" t="s">
        <v>301</v>
      </c>
      <c r="N133" s="12" t="s">
        <v>89</v>
      </c>
      <c r="O133" s="15" t="s">
        <v>1488</v>
      </c>
      <c r="P133" s="11" t="s">
        <v>91</v>
      </c>
      <c r="Q133" s="12" t="s">
        <v>629</v>
      </c>
      <c r="R133" s="12" t="s">
        <v>1061</v>
      </c>
      <c r="S133" s="12" t="s">
        <v>1489</v>
      </c>
      <c r="T133" s="11" t="s">
        <v>95</v>
      </c>
      <c r="U133" s="11" t="s">
        <v>168</v>
      </c>
      <c r="V133" s="11" t="s">
        <v>97</v>
      </c>
      <c r="W133" s="12" t="s">
        <v>1490</v>
      </c>
      <c r="X133" s="11" t="s">
        <v>86</v>
      </c>
      <c r="Y133" s="12" t="s">
        <v>1491</v>
      </c>
      <c r="Z133" s="12" t="s">
        <v>101</v>
      </c>
      <c r="AA133" s="12" t="s">
        <v>102</v>
      </c>
      <c r="AB133" s="12" t="s">
        <v>1492</v>
      </c>
      <c r="AC133" s="12" t="s">
        <v>1493</v>
      </c>
      <c r="AD133" s="12" t="s">
        <v>1494</v>
      </c>
      <c r="AE133" s="12" t="s">
        <v>106</v>
      </c>
      <c r="AF133" s="12" t="s">
        <v>1495</v>
      </c>
      <c r="AG133" s="12" t="s">
        <v>1496</v>
      </c>
    </row>
    <row r="134" customFormat="false" ht="60" hidden="false" customHeight="true" outlineLevel="0" collapsed="false">
      <c r="A134" s="22" t="s">
        <v>1357</v>
      </c>
      <c r="B134" s="11" t="n">
        <v>4</v>
      </c>
      <c r="C134" s="12" t="s">
        <v>13</v>
      </c>
      <c r="D134" s="11" t="s">
        <v>80</v>
      </c>
      <c r="E134" s="12" t="s">
        <v>1497</v>
      </c>
      <c r="F134" s="12" t="s">
        <v>1498</v>
      </c>
      <c r="G134" s="13" t="n">
        <v>46355</v>
      </c>
      <c r="H134" s="12" t="s">
        <v>83</v>
      </c>
      <c r="I134" s="12" t="s">
        <v>1499</v>
      </c>
      <c r="J134" s="14" t="s">
        <v>85</v>
      </c>
      <c r="K134" s="11" t="s">
        <v>86</v>
      </c>
      <c r="L134" s="11" t="s">
        <v>87</v>
      </c>
      <c r="M134" s="12" t="s">
        <v>88</v>
      </c>
      <c r="N134" s="12" t="s">
        <v>89</v>
      </c>
      <c r="O134" s="15" t="s">
        <v>1500</v>
      </c>
      <c r="P134" s="11" t="s">
        <v>91</v>
      </c>
      <c r="Q134" s="12" t="s">
        <v>1501</v>
      </c>
      <c r="R134" s="12" t="s">
        <v>1502</v>
      </c>
      <c r="S134" s="12" t="s">
        <v>182</v>
      </c>
      <c r="T134" s="11" t="s">
        <v>95</v>
      </c>
      <c r="U134" s="11" t="s">
        <v>878</v>
      </c>
      <c r="V134" s="11" t="s">
        <v>97</v>
      </c>
      <c r="W134" s="12" t="s">
        <v>1503</v>
      </c>
      <c r="X134" s="11" t="s">
        <v>1504</v>
      </c>
      <c r="Y134" s="12" t="s">
        <v>1505</v>
      </c>
      <c r="Z134" s="12" t="s">
        <v>101</v>
      </c>
      <c r="AA134" s="12" t="s">
        <v>102</v>
      </c>
      <c r="AB134" s="12" t="s">
        <v>1506</v>
      </c>
      <c r="AC134" s="12" t="s">
        <v>1507</v>
      </c>
      <c r="AD134" s="12" t="s">
        <v>1508</v>
      </c>
      <c r="AE134" s="12" t="s">
        <v>127</v>
      </c>
      <c r="AF134" s="12" t="s">
        <v>1509</v>
      </c>
      <c r="AG134" s="12" t="s">
        <v>1510</v>
      </c>
    </row>
    <row r="135" customFormat="false" ht="60" hidden="false" customHeight="true" outlineLevel="0" collapsed="false">
      <c r="A135" s="22" t="s">
        <v>1357</v>
      </c>
      <c r="B135" s="11" t="n">
        <v>4</v>
      </c>
      <c r="C135" s="12" t="s">
        <v>13</v>
      </c>
      <c r="D135" s="11" t="s">
        <v>80</v>
      </c>
      <c r="E135" s="12" t="s">
        <v>1511</v>
      </c>
      <c r="F135" s="12" t="s">
        <v>1512</v>
      </c>
      <c r="G135" s="13" t="n">
        <v>46356</v>
      </c>
      <c r="H135" s="12" t="s">
        <v>83</v>
      </c>
      <c r="I135" s="12" t="s">
        <v>1513</v>
      </c>
      <c r="J135" s="14" t="s">
        <v>85</v>
      </c>
      <c r="K135" s="11" t="s">
        <v>86</v>
      </c>
      <c r="L135" s="11" t="s">
        <v>87</v>
      </c>
      <c r="M135" s="12" t="s">
        <v>88</v>
      </c>
      <c r="N135" s="12" t="s">
        <v>89</v>
      </c>
      <c r="O135" s="15" t="s">
        <v>1514</v>
      </c>
      <c r="P135" s="11" t="s">
        <v>91</v>
      </c>
      <c r="Q135" s="12" t="s">
        <v>1515</v>
      </c>
      <c r="R135" s="12" t="s">
        <v>1516</v>
      </c>
      <c r="S135" s="12" t="s">
        <v>94</v>
      </c>
      <c r="T135" s="11" t="s">
        <v>183</v>
      </c>
      <c r="U135" s="11" t="s">
        <v>184</v>
      </c>
      <c r="V135" s="11" t="s">
        <v>97</v>
      </c>
      <c r="W135" s="12" t="s">
        <v>1517</v>
      </c>
      <c r="X135" s="11" t="s">
        <v>1518</v>
      </c>
      <c r="Y135" s="12" t="s">
        <v>1519</v>
      </c>
      <c r="Z135" s="12" t="s">
        <v>101</v>
      </c>
      <c r="AA135" s="12" t="s">
        <v>102</v>
      </c>
      <c r="AB135" s="12" t="s">
        <v>1520</v>
      </c>
      <c r="AC135" s="12" t="s">
        <v>1521</v>
      </c>
      <c r="AD135" s="12" t="s">
        <v>1522</v>
      </c>
      <c r="AE135" s="12" t="s">
        <v>596</v>
      </c>
      <c r="AF135" s="12" t="s">
        <v>1523</v>
      </c>
      <c r="AG135" s="12" t="s">
        <v>1524</v>
      </c>
    </row>
    <row r="136" customFormat="false" ht="60" hidden="false" customHeight="true" outlineLevel="0" collapsed="false">
      <c r="A136" s="22" t="s">
        <v>1357</v>
      </c>
      <c r="B136" s="11" t="n">
        <v>4</v>
      </c>
      <c r="C136" s="12" t="s">
        <v>237</v>
      </c>
      <c r="D136" s="11" t="s">
        <v>110</v>
      </c>
      <c r="E136" s="12" t="s">
        <v>1525</v>
      </c>
      <c r="F136" s="12" t="s">
        <v>1526</v>
      </c>
      <c r="G136" s="13" t="n">
        <v>46356</v>
      </c>
      <c r="H136" s="12" t="s">
        <v>83</v>
      </c>
      <c r="I136" s="12" t="s">
        <v>1513</v>
      </c>
      <c r="J136" s="14" t="s">
        <v>85</v>
      </c>
      <c r="K136" s="11" t="s">
        <v>86</v>
      </c>
      <c r="L136" s="11" t="s">
        <v>87</v>
      </c>
      <c r="M136" s="12" t="s">
        <v>284</v>
      </c>
      <c r="N136" s="12" t="s">
        <v>89</v>
      </c>
      <c r="O136" s="15" t="s">
        <v>1527</v>
      </c>
      <c r="P136" s="11" t="s">
        <v>136</v>
      </c>
      <c r="Q136" s="12" t="s">
        <v>1528</v>
      </c>
      <c r="R136" s="12" t="s">
        <v>1529</v>
      </c>
      <c r="S136" s="12" t="s">
        <v>1530</v>
      </c>
      <c r="T136" s="11" t="s">
        <v>183</v>
      </c>
      <c r="U136" s="11" t="s">
        <v>518</v>
      </c>
      <c r="V136" s="11" t="s">
        <v>97</v>
      </c>
      <c r="W136" s="12" t="s">
        <v>1531</v>
      </c>
      <c r="X136" s="11" t="s">
        <v>1532</v>
      </c>
      <c r="Y136" s="12" t="s">
        <v>1533</v>
      </c>
      <c r="Z136" s="12" t="s">
        <v>101</v>
      </c>
      <c r="AA136" s="12" t="s">
        <v>102</v>
      </c>
      <c r="AB136" s="12" t="s">
        <v>1534</v>
      </c>
      <c r="AC136" s="12" t="s">
        <v>1535</v>
      </c>
      <c r="AD136" s="12" t="s">
        <v>1536</v>
      </c>
      <c r="AE136" s="12" t="s">
        <v>106</v>
      </c>
      <c r="AF136" s="12" t="s">
        <v>1537</v>
      </c>
      <c r="AG136" s="12" t="s">
        <v>1538</v>
      </c>
    </row>
    <row r="137" customFormat="false" ht="60" hidden="false" customHeight="true" outlineLevel="0" collapsed="false">
      <c r="A137" s="22" t="s">
        <v>1357</v>
      </c>
      <c r="B137" s="11" t="n">
        <v>4</v>
      </c>
      <c r="C137" s="12" t="s">
        <v>237</v>
      </c>
      <c r="D137" s="11" t="s">
        <v>110</v>
      </c>
      <c r="E137" s="12" t="s">
        <v>774</v>
      </c>
      <c r="F137" s="12" t="s">
        <v>1539</v>
      </c>
      <c r="G137" s="13" t="n">
        <v>46357</v>
      </c>
      <c r="H137" s="12" t="s">
        <v>83</v>
      </c>
      <c r="I137" s="12" t="s">
        <v>1540</v>
      </c>
      <c r="J137" s="14" t="s">
        <v>85</v>
      </c>
      <c r="K137" s="11" t="s">
        <v>86</v>
      </c>
      <c r="L137" s="11" t="s">
        <v>87</v>
      </c>
      <c r="M137" s="12" t="s">
        <v>88</v>
      </c>
      <c r="N137" s="12" t="s">
        <v>89</v>
      </c>
      <c r="O137" s="15" t="s">
        <v>1541</v>
      </c>
      <c r="P137" s="11" t="s">
        <v>628</v>
      </c>
      <c r="Q137" s="12" t="s">
        <v>1542</v>
      </c>
      <c r="R137" s="12" t="s">
        <v>778</v>
      </c>
      <c r="S137" s="12" t="s">
        <v>1543</v>
      </c>
      <c r="T137" s="11" t="s">
        <v>183</v>
      </c>
      <c r="U137" s="11" t="s">
        <v>261</v>
      </c>
      <c r="V137" s="11" t="s">
        <v>97</v>
      </c>
      <c r="W137" s="12" t="s">
        <v>1544</v>
      </c>
      <c r="X137" s="11" t="s">
        <v>1545</v>
      </c>
      <c r="Y137" s="12" t="s">
        <v>1546</v>
      </c>
      <c r="Z137" s="12" t="s">
        <v>101</v>
      </c>
      <c r="AA137" s="12" t="s">
        <v>102</v>
      </c>
      <c r="AB137" s="12" t="s">
        <v>1547</v>
      </c>
      <c r="AC137" s="12" t="s">
        <v>1548</v>
      </c>
      <c r="AD137" s="12" t="s">
        <v>1549</v>
      </c>
      <c r="AE137" s="12" t="s">
        <v>106</v>
      </c>
      <c r="AF137" s="12" t="s">
        <v>1550</v>
      </c>
      <c r="AG137" s="12" t="s">
        <v>1551</v>
      </c>
    </row>
    <row r="138" customFormat="false" ht="60" hidden="false" customHeight="true" outlineLevel="0" collapsed="false">
      <c r="A138" s="22" t="s">
        <v>1357</v>
      </c>
      <c r="B138" s="11" t="n">
        <v>4</v>
      </c>
      <c r="C138" s="12" t="s">
        <v>13</v>
      </c>
      <c r="D138" s="11" t="s">
        <v>80</v>
      </c>
      <c r="E138" s="12" t="s">
        <v>844</v>
      </c>
      <c r="F138" s="12" t="s">
        <v>1552</v>
      </c>
      <c r="G138" s="13" t="n">
        <v>46357</v>
      </c>
      <c r="H138" s="12" t="s">
        <v>83</v>
      </c>
      <c r="I138" s="12" t="s">
        <v>1540</v>
      </c>
      <c r="J138" s="14" t="s">
        <v>85</v>
      </c>
      <c r="K138" s="11" t="s">
        <v>86</v>
      </c>
      <c r="L138" s="11" t="s">
        <v>87</v>
      </c>
      <c r="M138" s="12" t="s">
        <v>88</v>
      </c>
      <c r="N138" s="12" t="s">
        <v>89</v>
      </c>
      <c r="O138" s="15" t="s">
        <v>1553</v>
      </c>
      <c r="P138" s="11" t="s">
        <v>91</v>
      </c>
      <c r="Q138" s="12" t="s">
        <v>1554</v>
      </c>
      <c r="R138" s="12" t="s">
        <v>1555</v>
      </c>
      <c r="S138" s="12" t="s">
        <v>182</v>
      </c>
      <c r="T138" s="11" t="s">
        <v>95</v>
      </c>
      <c r="U138" s="11" t="s">
        <v>261</v>
      </c>
      <c r="V138" s="11" t="s">
        <v>121</v>
      </c>
      <c r="W138" s="12" t="s">
        <v>1556</v>
      </c>
      <c r="X138" s="11" t="s">
        <v>141</v>
      </c>
      <c r="Y138" s="12" t="s">
        <v>1557</v>
      </c>
      <c r="Z138" s="12" t="s">
        <v>101</v>
      </c>
      <c r="AA138" s="12" t="s">
        <v>102</v>
      </c>
      <c r="AB138" s="12" t="s">
        <v>1558</v>
      </c>
      <c r="AC138" s="12" t="s">
        <v>1559</v>
      </c>
      <c r="AD138" s="12" t="s">
        <v>1560</v>
      </c>
      <c r="AE138" s="12" t="s">
        <v>127</v>
      </c>
      <c r="AF138" s="12"/>
      <c r="AG138" s="12" t="s">
        <v>1561</v>
      </c>
    </row>
    <row r="139" customFormat="false" ht="60" hidden="false" customHeight="true" outlineLevel="0" collapsed="false">
      <c r="A139" s="22" t="s">
        <v>1357</v>
      </c>
      <c r="B139" s="16" t="n">
        <v>5</v>
      </c>
      <c r="C139" s="12" t="s">
        <v>13</v>
      </c>
      <c r="D139" s="11" t="s">
        <v>80</v>
      </c>
      <c r="E139" s="12" t="s">
        <v>1562</v>
      </c>
      <c r="F139" s="12" t="s">
        <v>1563</v>
      </c>
      <c r="G139" s="13" t="n">
        <v>46362</v>
      </c>
      <c r="H139" s="12" t="s">
        <v>83</v>
      </c>
      <c r="I139" s="12" t="s">
        <v>1564</v>
      </c>
      <c r="J139" s="14" t="s">
        <v>85</v>
      </c>
      <c r="K139" s="11" t="s">
        <v>86</v>
      </c>
      <c r="L139" s="11" t="s">
        <v>87</v>
      </c>
      <c r="M139" s="12" t="s">
        <v>88</v>
      </c>
      <c r="N139" s="12" t="s">
        <v>89</v>
      </c>
      <c r="O139" s="15" t="s">
        <v>1565</v>
      </c>
      <c r="P139" s="11" t="s">
        <v>91</v>
      </c>
      <c r="Q139" s="12" t="s">
        <v>1566</v>
      </c>
      <c r="R139" s="12" t="s">
        <v>490</v>
      </c>
      <c r="S139" s="12" t="s">
        <v>1567</v>
      </c>
      <c r="T139" s="11" t="s">
        <v>95</v>
      </c>
      <c r="U139" s="11" t="s">
        <v>382</v>
      </c>
      <c r="V139" s="11" t="s">
        <v>97</v>
      </c>
      <c r="W139" s="12" t="s">
        <v>1568</v>
      </c>
      <c r="X139" s="11" t="s">
        <v>248</v>
      </c>
      <c r="Y139" s="12" t="s">
        <v>1569</v>
      </c>
      <c r="Z139" s="12" t="s">
        <v>101</v>
      </c>
      <c r="AA139" s="12" t="s">
        <v>102</v>
      </c>
      <c r="AB139" s="12" t="s">
        <v>1570</v>
      </c>
      <c r="AC139" s="12" t="s">
        <v>1571</v>
      </c>
      <c r="AD139" s="12" t="s">
        <v>1572</v>
      </c>
      <c r="AE139" s="12" t="s">
        <v>106</v>
      </c>
      <c r="AF139" s="12" t="s">
        <v>1573</v>
      </c>
      <c r="AG139" s="12" t="s">
        <v>1574</v>
      </c>
    </row>
    <row r="140" customFormat="false" ht="60" hidden="false" customHeight="true" outlineLevel="0" collapsed="false">
      <c r="A140" s="22" t="s">
        <v>1357</v>
      </c>
      <c r="B140" s="16" t="n">
        <v>5</v>
      </c>
      <c r="C140" s="12" t="s">
        <v>297</v>
      </c>
      <c r="D140" s="11" t="s">
        <v>110</v>
      </c>
      <c r="E140" s="12" t="s">
        <v>1575</v>
      </c>
      <c r="F140" s="12" t="s">
        <v>1576</v>
      </c>
      <c r="G140" s="13" t="n">
        <v>46387</v>
      </c>
      <c r="H140" s="12" t="s">
        <v>83</v>
      </c>
      <c r="I140" s="12" t="s">
        <v>1577</v>
      </c>
      <c r="J140" s="14" t="s">
        <v>85</v>
      </c>
      <c r="K140" s="11" t="s">
        <v>86</v>
      </c>
      <c r="L140" s="11" t="s">
        <v>87</v>
      </c>
      <c r="M140" s="12" t="s">
        <v>284</v>
      </c>
      <c r="N140" s="12" t="s">
        <v>89</v>
      </c>
      <c r="O140" s="15" t="s">
        <v>1578</v>
      </c>
      <c r="P140" s="11" t="s">
        <v>136</v>
      </c>
      <c r="Q140" s="12" t="s">
        <v>1579</v>
      </c>
      <c r="R140" s="12" t="s">
        <v>1580</v>
      </c>
      <c r="S140" s="12" t="s">
        <v>1581</v>
      </c>
      <c r="T140" s="11" t="s">
        <v>95</v>
      </c>
      <c r="U140" s="11" t="s">
        <v>518</v>
      </c>
      <c r="V140" s="11" t="s">
        <v>97</v>
      </c>
      <c r="W140" s="12" t="s">
        <v>1582</v>
      </c>
      <c r="X140" s="11" t="s">
        <v>1583</v>
      </c>
      <c r="Y140" s="12" t="s">
        <v>1584</v>
      </c>
      <c r="Z140" s="12" t="s">
        <v>101</v>
      </c>
      <c r="AA140" s="12" t="s">
        <v>310</v>
      </c>
      <c r="AB140" s="12" t="s">
        <v>1585</v>
      </c>
      <c r="AC140" s="12" t="s">
        <v>1586</v>
      </c>
      <c r="AD140" s="12" t="s">
        <v>1587</v>
      </c>
      <c r="AE140" s="12" t="s">
        <v>106</v>
      </c>
      <c r="AF140" s="12" t="s">
        <v>1588</v>
      </c>
      <c r="AG140" s="12" t="s">
        <v>1589</v>
      </c>
    </row>
    <row r="141" customFormat="false" ht="60" hidden="false" customHeight="true" outlineLevel="0" collapsed="false">
      <c r="A141" s="22" t="s">
        <v>1357</v>
      </c>
      <c r="B141" s="11" t="n">
        <v>4</v>
      </c>
      <c r="C141" s="12" t="s">
        <v>13</v>
      </c>
      <c r="D141" s="11" t="s">
        <v>80</v>
      </c>
      <c r="E141" s="12" t="s">
        <v>1163</v>
      </c>
      <c r="F141" s="12" t="s">
        <v>1590</v>
      </c>
      <c r="G141" s="13" t="n">
        <v>46387</v>
      </c>
      <c r="H141" s="12" t="s">
        <v>83</v>
      </c>
      <c r="I141" s="12" t="s">
        <v>1577</v>
      </c>
      <c r="J141" s="14" t="s">
        <v>85</v>
      </c>
      <c r="K141" s="11" t="s">
        <v>86</v>
      </c>
      <c r="L141" s="11" t="s">
        <v>87</v>
      </c>
      <c r="M141" s="12" t="s">
        <v>88</v>
      </c>
      <c r="N141" s="12" t="s">
        <v>89</v>
      </c>
      <c r="O141" s="15" t="s">
        <v>1591</v>
      </c>
      <c r="P141" s="11" t="s">
        <v>91</v>
      </c>
      <c r="Q141" s="12" t="s">
        <v>956</v>
      </c>
      <c r="R141" s="12" t="s">
        <v>741</v>
      </c>
      <c r="S141" s="12" t="s">
        <v>94</v>
      </c>
      <c r="T141" s="11" t="s">
        <v>95</v>
      </c>
      <c r="U141" s="11" t="s">
        <v>743</v>
      </c>
      <c r="V141" s="11" t="s">
        <v>97</v>
      </c>
      <c r="W141" s="12" t="s">
        <v>1592</v>
      </c>
      <c r="X141" s="11" t="s">
        <v>1593</v>
      </c>
      <c r="Y141" s="12" t="s">
        <v>1594</v>
      </c>
      <c r="Z141" s="12" t="s">
        <v>101</v>
      </c>
      <c r="AA141" s="12" t="s">
        <v>102</v>
      </c>
      <c r="AB141" s="12" t="s">
        <v>1595</v>
      </c>
      <c r="AC141" s="12" t="s">
        <v>1596</v>
      </c>
      <c r="AD141" s="12" t="s">
        <v>1597</v>
      </c>
      <c r="AE141" s="12" t="s">
        <v>106</v>
      </c>
      <c r="AF141" s="12" t="s">
        <v>1598</v>
      </c>
      <c r="AG141" s="12" t="s">
        <v>1599</v>
      </c>
    </row>
    <row r="142" customFormat="false" ht="60" hidden="false" customHeight="true" outlineLevel="0" collapsed="false">
      <c r="A142" s="22" t="s">
        <v>1357</v>
      </c>
      <c r="B142" s="11" t="n">
        <v>4</v>
      </c>
      <c r="C142" s="12" t="s">
        <v>109</v>
      </c>
      <c r="D142" s="11" t="s">
        <v>110</v>
      </c>
      <c r="E142" s="12" t="s">
        <v>131</v>
      </c>
      <c r="F142" s="12" t="s">
        <v>1600</v>
      </c>
      <c r="G142" s="13" t="n">
        <v>46395</v>
      </c>
      <c r="H142" s="12" t="s">
        <v>83</v>
      </c>
      <c r="I142" s="12" t="s">
        <v>1601</v>
      </c>
      <c r="J142" s="14" t="s">
        <v>85</v>
      </c>
      <c r="K142" s="11" t="s">
        <v>86</v>
      </c>
      <c r="L142" s="11" t="s">
        <v>87</v>
      </c>
      <c r="M142" s="12" t="s">
        <v>88</v>
      </c>
      <c r="N142" s="12" t="s">
        <v>89</v>
      </c>
      <c r="O142" s="15" t="s">
        <v>1602</v>
      </c>
      <c r="P142" s="11" t="s">
        <v>91</v>
      </c>
      <c r="Q142" s="12" t="s">
        <v>1603</v>
      </c>
      <c r="R142" s="12" t="s">
        <v>138</v>
      </c>
      <c r="S142" s="12" t="s">
        <v>730</v>
      </c>
      <c r="T142" s="11" t="s">
        <v>95</v>
      </c>
      <c r="U142" s="11" t="s">
        <v>139</v>
      </c>
      <c r="V142" s="11" t="s">
        <v>97</v>
      </c>
      <c r="W142" s="12" t="s">
        <v>1604</v>
      </c>
      <c r="X142" s="11" t="s">
        <v>141</v>
      </c>
      <c r="Y142" s="12" t="s">
        <v>1605</v>
      </c>
      <c r="Z142" s="12" t="s">
        <v>101</v>
      </c>
      <c r="AA142" s="12" t="s">
        <v>102</v>
      </c>
      <c r="AB142" s="12" t="s">
        <v>1606</v>
      </c>
      <c r="AC142" s="12" t="s">
        <v>1607</v>
      </c>
      <c r="AD142" s="12" t="s">
        <v>1608</v>
      </c>
      <c r="AE142" s="12" t="s">
        <v>106</v>
      </c>
      <c r="AF142" s="12" t="s">
        <v>1609</v>
      </c>
      <c r="AG142" s="12" t="s">
        <v>1610</v>
      </c>
    </row>
    <row r="143" customFormat="false" ht="60" hidden="false" customHeight="true" outlineLevel="0" collapsed="false">
      <c r="A143" s="25" t="s">
        <v>1884</v>
      </c>
      <c r="B143" s="16" t="n">
        <v>5</v>
      </c>
      <c r="C143" s="12" t="s">
        <v>297</v>
      </c>
      <c r="D143" s="11" t="s">
        <v>110</v>
      </c>
      <c r="E143" s="12" t="s">
        <v>1485</v>
      </c>
      <c r="F143" s="12" t="s">
        <v>1885</v>
      </c>
      <c r="G143" s="13" t="n">
        <v>46376</v>
      </c>
      <c r="H143" s="12" t="s">
        <v>83</v>
      </c>
      <c r="I143" s="12" t="s">
        <v>1886</v>
      </c>
      <c r="J143" s="26" t="s">
        <v>1887</v>
      </c>
      <c r="K143" s="11" t="s">
        <v>86</v>
      </c>
      <c r="L143" s="11" t="s">
        <v>1888</v>
      </c>
      <c r="M143" s="12" t="s">
        <v>284</v>
      </c>
      <c r="N143" s="12" t="s">
        <v>89</v>
      </c>
      <c r="O143" s="15" t="s">
        <v>1889</v>
      </c>
      <c r="P143" s="11" t="s">
        <v>91</v>
      </c>
      <c r="Q143" s="12" t="s">
        <v>629</v>
      </c>
      <c r="R143" s="12" t="s">
        <v>1061</v>
      </c>
      <c r="S143" s="12" t="s">
        <v>1890</v>
      </c>
      <c r="T143" s="11" t="s">
        <v>95</v>
      </c>
      <c r="U143" s="11" t="s">
        <v>168</v>
      </c>
      <c r="V143" s="11" t="s">
        <v>97</v>
      </c>
      <c r="W143" s="12" t="s">
        <v>1891</v>
      </c>
      <c r="X143" s="11" t="s">
        <v>1892</v>
      </c>
      <c r="Y143" s="12" t="s">
        <v>1893</v>
      </c>
      <c r="Z143" s="12" t="s">
        <v>101</v>
      </c>
      <c r="AA143" s="12" t="s">
        <v>1894</v>
      </c>
      <c r="AB143" s="12" t="s">
        <v>1895</v>
      </c>
      <c r="AC143" s="12" t="s">
        <v>1896</v>
      </c>
      <c r="AD143" s="12" t="s">
        <v>1897</v>
      </c>
      <c r="AE143" s="12" t="s">
        <v>106</v>
      </c>
      <c r="AF143" s="12" t="s">
        <v>1898</v>
      </c>
      <c r="AG143" s="12" t="s">
        <v>1899</v>
      </c>
    </row>
    <row r="144" customFormat="false" ht="60" hidden="false" customHeight="true" outlineLevel="0" collapsed="false">
      <c r="A144" s="25" t="s">
        <v>1884</v>
      </c>
      <c r="B144" s="16" t="n">
        <v>5</v>
      </c>
      <c r="C144" s="12" t="s">
        <v>297</v>
      </c>
      <c r="D144" s="11" t="s">
        <v>110</v>
      </c>
      <c r="E144" s="12" t="s">
        <v>1900</v>
      </c>
      <c r="F144" s="12" t="s">
        <v>1901</v>
      </c>
      <c r="G144" s="13" t="n">
        <v>46491</v>
      </c>
      <c r="H144" s="12" t="s">
        <v>446</v>
      </c>
      <c r="I144" s="12" t="s">
        <v>1902</v>
      </c>
      <c r="J144" s="26" t="s">
        <v>1887</v>
      </c>
      <c r="K144" s="11" t="s">
        <v>86</v>
      </c>
      <c r="L144" s="11" t="s">
        <v>1888</v>
      </c>
      <c r="M144" s="12" t="s">
        <v>284</v>
      </c>
      <c r="N144" s="12" t="s">
        <v>89</v>
      </c>
      <c r="O144" s="15" t="s">
        <v>1903</v>
      </c>
      <c r="P144" s="11" t="s">
        <v>91</v>
      </c>
      <c r="Q144" s="12" t="s">
        <v>1904</v>
      </c>
      <c r="R144" s="12" t="s">
        <v>304</v>
      </c>
      <c r="S144" s="12" t="s">
        <v>1905</v>
      </c>
      <c r="T144" s="11" t="s">
        <v>95</v>
      </c>
      <c r="U144" s="11" t="s">
        <v>184</v>
      </c>
      <c r="V144" s="11" t="s">
        <v>97</v>
      </c>
      <c r="W144" s="12" t="s">
        <v>1906</v>
      </c>
      <c r="X144" s="11" t="s">
        <v>1907</v>
      </c>
      <c r="Y144" s="12" t="s">
        <v>1908</v>
      </c>
      <c r="Z144" s="12" t="s">
        <v>101</v>
      </c>
      <c r="AA144" s="12" t="s">
        <v>1894</v>
      </c>
      <c r="AB144" s="12" t="s">
        <v>1909</v>
      </c>
      <c r="AC144" s="12" t="s">
        <v>1910</v>
      </c>
      <c r="AD144" s="12" t="s">
        <v>1911</v>
      </c>
      <c r="AE144" s="12" t="s">
        <v>106</v>
      </c>
      <c r="AF144" s="12"/>
      <c r="AG144" s="12" t="s">
        <v>1912</v>
      </c>
    </row>
    <row r="145" customFormat="false" ht="60" hidden="false" customHeight="true" outlineLevel="0" collapsed="false">
      <c r="A145" s="25" t="s">
        <v>1884</v>
      </c>
      <c r="B145" s="11" t="n">
        <v>4</v>
      </c>
      <c r="C145" s="12" t="s">
        <v>297</v>
      </c>
      <c r="D145" s="11" t="s">
        <v>110</v>
      </c>
      <c r="E145" s="12" t="s">
        <v>1913</v>
      </c>
      <c r="F145" s="12" t="s">
        <v>1914</v>
      </c>
      <c r="G145" s="13" t="n">
        <v>46508</v>
      </c>
      <c r="H145" s="12" t="s">
        <v>282</v>
      </c>
      <c r="I145" s="12" t="s">
        <v>1915</v>
      </c>
      <c r="J145" s="26" t="s">
        <v>1887</v>
      </c>
      <c r="K145" s="11" t="s">
        <v>514</v>
      </c>
      <c r="L145" s="11" t="s">
        <v>1888</v>
      </c>
      <c r="M145" s="12" t="s">
        <v>284</v>
      </c>
      <c r="N145" s="12" t="s">
        <v>89</v>
      </c>
      <c r="O145" s="15" t="s">
        <v>1916</v>
      </c>
      <c r="P145" s="11" t="s">
        <v>91</v>
      </c>
      <c r="Q145" s="12" t="s">
        <v>1917</v>
      </c>
      <c r="R145" s="12" t="s">
        <v>1918</v>
      </c>
      <c r="S145" s="12" t="s">
        <v>1919</v>
      </c>
      <c r="T145" s="11" t="s">
        <v>95</v>
      </c>
      <c r="U145" s="11" t="s">
        <v>96</v>
      </c>
      <c r="V145" s="11" t="s">
        <v>97</v>
      </c>
      <c r="W145" s="12" t="s">
        <v>1920</v>
      </c>
      <c r="X145" s="11" t="s">
        <v>1921</v>
      </c>
      <c r="Y145" s="12" t="s">
        <v>1922</v>
      </c>
      <c r="Z145" s="12" t="s">
        <v>522</v>
      </c>
      <c r="AA145" s="12" t="s">
        <v>1894</v>
      </c>
      <c r="AB145" s="12" t="s">
        <v>1923</v>
      </c>
      <c r="AC145" s="12" t="s">
        <v>1924</v>
      </c>
      <c r="AD145" s="12" t="s">
        <v>1925</v>
      </c>
      <c r="AE145" s="12" t="s">
        <v>106</v>
      </c>
      <c r="AF145" s="12"/>
      <c r="AG145" s="12" t="s">
        <v>1926</v>
      </c>
    </row>
    <row r="146" customFormat="false" ht="60" hidden="false" customHeight="true" outlineLevel="0" collapsed="false">
      <c r="A146" s="25" t="s">
        <v>1884</v>
      </c>
      <c r="B146" s="16" t="n">
        <v>5</v>
      </c>
      <c r="C146" s="12" t="s">
        <v>297</v>
      </c>
      <c r="D146" s="11" t="s">
        <v>110</v>
      </c>
      <c r="E146" s="12" t="s">
        <v>1927</v>
      </c>
      <c r="F146" s="12" t="s">
        <v>1928</v>
      </c>
      <c r="G146" s="11"/>
      <c r="H146" s="12" t="s">
        <v>487</v>
      </c>
      <c r="I146" s="12" t="s">
        <v>134</v>
      </c>
      <c r="J146" s="26" t="s">
        <v>1887</v>
      </c>
      <c r="K146" s="11" t="s">
        <v>86</v>
      </c>
      <c r="L146" s="11" t="s">
        <v>1888</v>
      </c>
      <c r="M146" s="12" t="s">
        <v>284</v>
      </c>
      <c r="N146" s="12" t="s">
        <v>89</v>
      </c>
      <c r="O146" s="15" t="s">
        <v>1929</v>
      </c>
      <c r="P146" s="11" t="s">
        <v>136</v>
      </c>
      <c r="Q146" s="12" t="s">
        <v>1930</v>
      </c>
      <c r="R146" s="12" t="s">
        <v>304</v>
      </c>
      <c r="S146" s="12" t="s">
        <v>1931</v>
      </c>
      <c r="T146" s="11" t="s">
        <v>183</v>
      </c>
      <c r="U146" s="11" t="s">
        <v>96</v>
      </c>
      <c r="V146" s="11" t="s">
        <v>97</v>
      </c>
      <c r="W146" s="12" t="s">
        <v>1932</v>
      </c>
      <c r="X146" s="11" t="s">
        <v>1933</v>
      </c>
      <c r="Y146" s="12" t="s">
        <v>1934</v>
      </c>
      <c r="Z146" s="12" t="s">
        <v>101</v>
      </c>
      <c r="AA146" s="12" t="s">
        <v>1894</v>
      </c>
      <c r="AB146" s="12" t="s">
        <v>1935</v>
      </c>
      <c r="AC146" s="12" t="s">
        <v>1936</v>
      </c>
      <c r="AD146" s="12" t="s">
        <v>1937</v>
      </c>
      <c r="AE146" s="12" t="s">
        <v>106</v>
      </c>
      <c r="AF146" s="12" t="s">
        <v>1938</v>
      </c>
      <c r="AG146" s="12" t="s">
        <v>1939</v>
      </c>
    </row>
    <row r="147" customFormat="false" ht="60" hidden="false" customHeight="true" outlineLevel="0" collapsed="false">
      <c r="A147" s="25" t="s">
        <v>1884</v>
      </c>
      <c r="B147" s="16" t="n">
        <v>5</v>
      </c>
      <c r="C147" s="12" t="s">
        <v>109</v>
      </c>
      <c r="D147" s="11" t="s">
        <v>110</v>
      </c>
      <c r="E147" s="12" t="s">
        <v>404</v>
      </c>
      <c r="F147" s="12" t="s">
        <v>1940</v>
      </c>
      <c r="G147" s="11"/>
      <c r="H147" s="12" t="s">
        <v>544</v>
      </c>
      <c r="I147" s="12" t="s">
        <v>86</v>
      </c>
      <c r="J147" s="26" t="s">
        <v>1941</v>
      </c>
      <c r="K147" s="11" t="s">
        <v>86</v>
      </c>
      <c r="L147" s="11" t="s">
        <v>1888</v>
      </c>
      <c r="M147" s="12" t="s">
        <v>301</v>
      </c>
      <c r="N147" s="12" t="s">
        <v>89</v>
      </c>
      <c r="O147" s="15" t="s">
        <v>1942</v>
      </c>
      <c r="P147" s="11" t="s">
        <v>628</v>
      </c>
      <c r="Q147" s="12" t="s">
        <v>1943</v>
      </c>
      <c r="R147" s="12" t="s">
        <v>1944</v>
      </c>
      <c r="S147" s="12" t="s">
        <v>1945</v>
      </c>
      <c r="T147" s="11" t="s">
        <v>95</v>
      </c>
      <c r="U147" s="11" t="s">
        <v>228</v>
      </c>
      <c r="V147" s="11" t="s">
        <v>97</v>
      </c>
      <c r="W147" s="12" t="s">
        <v>1946</v>
      </c>
      <c r="X147" s="11" t="s">
        <v>86</v>
      </c>
      <c r="Y147" s="12" t="s">
        <v>1947</v>
      </c>
      <c r="Z147" s="12" t="s">
        <v>101</v>
      </c>
      <c r="AA147" s="12" t="s">
        <v>1616</v>
      </c>
      <c r="AB147" s="12" t="s">
        <v>1948</v>
      </c>
      <c r="AC147" s="12" t="s">
        <v>1949</v>
      </c>
      <c r="AD147" s="12" t="s">
        <v>1950</v>
      </c>
      <c r="AE147" s="12" t="s">
        <v>106</v>
      </c>
      <c r="AF147" s="12" t="s">
        <v>1951</v>
      </c>
      <c r="AG147" s="12" t="s">
        <v>1952</v>
      </c>
    </row>
    <row r="148" customFormat="false" ht="60" hidden="false" customHeight="true" outlineLevel="0" collapsed="false">
      <c r="A148" s="25" t="s">
        <v>1884</v>
      </c>
      <c r="B148" s="16" t="n">
        <v>5</v>
      </c>
      <c r="C148" s="12" t="s">
        <v>109</v>
      </c>
      <c r="D148" s="11" t="s">
        <v>110</v>
      </c>
      <c r="E148" s="12" t="s">
        <v>1777</v>
      </c>
      <c r="F148" s="12" t="s">
        <v>1953</v>
      </c>
      <c r="G148" s="11"/>
      <c r="H148" s="12" t="s">
        <v>544</v>
      </c>
      <c r="I148" s="12" t="s">
        <v>86</v>
      </c>
      <c r="J148" s="26" t="s">
        <v>1954</v>
      </c>
      <c r="K148" s="11" t="s">
        <v>86</v>
      </c>
      <c r="L148" s="11" t="s">
        <v>1888</v>
      </c>
      <c r="M148" s="12" t="s">
        <v>88</v>
      </c>
      <c r="N148" s="12" t="s">
        <v>1955</v>
      </c>
      <c r="O148" s="15" t="s">
        <v>1956</v>
      </c>
      <c r="P148" s="11" t="s">
        <v>136</v>
      </c>
      <c r="Q148" s="12" t="s">
        <v>1781</v>
      </c>
      <c r="R148" s="12" t="s">
        <v>1782</v>
      </c>
      <c r="S148" s="12" t="s">
        <v>1957</v>
      </c>
      <c r="T148" s="11" t="s">
        <v>95</v>
      </c>
      <c r="U148" s="11" t="s">
        <v>139</v>
      </c>
      <c r="V148" s="11" t="s">
        <v>97</v>
      </c>
      <c r="W148" s="12" t="s">
        <v>1958</v>
      </c>
      <c r="X148" s="11" t="s">
        <v>1785</v>
      </c>
      <c r="Y148" s="12" t="s">
        <v>1959</v>
      </c>
      <c r="Z148" s="12" t="s">
        <v>101</v>
      </c>
      <c r="AA148" s="12" t="s">
        <v>1616</v>
      </c>
      <c r="AB148" s="12" t="s">
        <v>1960</v>
      </c>
      <c r="AC148" s="12" t="s">
        <v>1961</v>
      </c>
      <c r="AD148" s="12" t="s">
        <v>1962</v>
      </c>
      <c r="AE148" s="12" t="s">
        <v>106</v>
      </c>
      <c r="AF148" s="12"/>
      <c r="AG148" s="12" t="s">
        <v>1963</v>
      </c>
    </row>
    <row r="149" customFormat="false" ht="60" hidden="false" customHeight="true" outlineLevel="0" collapsed="false">
      <c r="A149" s="25" t="s">
        <v>1884</v>
      </c>
      <c r="B149" s="16" t="n">
        <v>5</v>
      </c>
      <c r="C149" s="12" t="s">
        <v>297</v>
      </c>
      <c r="D149" s="11" t="s">
        <v>110</v>
      </c>
      <c r="E149" s="12" t="s">
        <v>1137</v>
      </c>
      <c r="F149" s="12" t="s">
        <v>1964</v>
      </c>
      <c r="G149" s="11"/>
      <c r="H149" s="12" t="s">
        <v>487</v>
      </c>
      <c r="I149" s="12" t="s">
        <v>134</v>
      </c>
      <c r="J149" s="26" t="s">
        <v>1887</v>
      </c>
      <c r="K149" s="11" t="s">
        <v>514</v>
      </c>
      <c r="L149" s="11" t="s">
        <v>1888</v>
      </c>
      <c r="M149" s="12" t="s">
        <v>284</v>
      </c>
      <c r="N149" s="12" t="s">
        <v>89</v>
      </c>
      <c r="O149" s="15" t="s">
        <v>1965</v>
      </c>
      <c r="P149" s="11" t="s">
        <v>136</v>
      </c>
      <c r="Q149" s="12" t="s">
        <v>1966</v>
      </c>
      <c r="R149" s="12" t="s">
        <v>1141</v>
      </c>
      <c r="S149" s="12" t="s">
        <v>933</v>
      </c>
      <c r="T149" s="11" t="s">
        <v>183</v>
      </c>
      <c r="U149" s="11" t="s">
        <v>743</v>
      </c>
      <c r="V149" s="11" t="s">
        <v>97</v>
      </c>
      <c r="W149" s="12" t="s">
        <v>1967</v>
      </c>
      <c r="X149" s="11" t="s">
        <v>1968</v>
      </c>
      <c r="Y149" s="12" t="s">
        <v>1969</v>
      </c>
      <c r="Z149" s="12" t="s">
        <v>522</v>
      </c>
      <c r="AA149" s="12" t="s">
        <v>1894</v>
      </c>
      <c r="AB149" s="12" t="s">
        <v>1970</v>
      </c>
      <c r="AC149" s="12" t="s">
        <v>1971</v>
      </c>
      <c r="AD149" s="12" t="s">
        <v>1972</v>
      </c>
      <c r="AE149" s="12" t="s">
        <v>127</v>
      </c>
      <c r="AF149" s="12" t="s">
        <v>1973</v>
      </c>
      <c r="AG149" s="12" t="s">
        <v>1974</v>
      </c>
    </row>
    <row r="150" customFormat="false" ht="60" hidden="false" customHeight="true" outlineLevel="0" collapsed="false">
      <c r="A150" s="25" t="s">
        <v>1884</v>
      </c>
      <c r="B150" s="16" t="n">
        <v>5</v>
      </c>
      <c r="C150" s="12" t="s">
        <v>297</v>
      </c>
      <c r="D150" s="11" t="s">
        <v>110</v>
      </c>
      <c r="E150" s="12" t="s">
        <v>1975</v>
      </c>
      <c r="F150" s="12" t="s">
        <v>1976</v>
      </c>
      <c r="G150" s="11"/>
      <c r="H150" s="12" t="s">
        <v>544</v>
      </c>
      <c r="I150" s="12" t="s">
        <v>86</v>
      </c>
      <c r="J150" s="26" t="s">
        <v>1887</v>
      </c>
      <c r="K150" s="11" t="s">
        <v>86</v>
      </c>
      <c r="L150" s="11" t="s">
        <v>1888</v>
      </c>
      <c r="M150" s="12" t="s">
        <v>284</v>
      </c>
      <c r="N150" s="12" t="s">
        <v>89</v>
      </c>
      <c r="O150" s="15" t="s">
        <v>1977</v>
      </c>
      <c r="P150" s="11" t="s">
        <v>136</v>
      </c>
      <c r="Q150" s="12" t="s">
        <v>602</v>
      </c>
      <c r="R150" s="12" t="s">
        <v>1978</v>
      </c>
      <c r="S150" s="12" t="s">
        <v>861</v>
      </c>
      <c r="T150" s="11" t="s">
        <v>183</v>
      </c>
      <c r="U150" s="11" t="s">
        <v>261</v>
      </c>
      <c r="V150" s="11" t="s">
        <v>97</v>
      </c>
      <c r="W150" s="12" t="s">
        <v>1979</v>
      </c>
      <c r="X150" s="11" t="s">
        <v>1980</v>
      </c>
      <c r="Y150" s="12" t="s">
        <v>1981</v>
      </c>
      <c r="Z150" s="12" t="s">
        <v>101</v>
      </c>
      <c r="AA150" s="12" t="s">
        <v>1894</v>
      </c>
      <c r="AB150" s="12" t="s">
        <v>1982</v>
      </c>
      <c r="AC150" s="12" t="s">
        <v>1983</v>
      </c>
      <c r="AD150" s="12" t="s">
        <v>1984</v>
      </c>
      <c r="AE150" s="12" t="s">
        <v>106</v>
      </c>
      <c r="AF150" s="12" t="s">
        <v>1985</v>
      </c>
      <c r="AG150" s="12" t="s">
        <v>1986</v>
      </c>
    </row>
    <row r="151" customFormat="false" ht="60" hidden="false" customHeight="true" outlineLevel="0" collapsed="false">
      <c r="A151" s="27" t="s">
        <v>1987</v>
      </c>
      <c r="B151" s="16" t="n">
        <v>5</v>
      </c>
      <c r="C151" s="12" t="s">
        <v>237</v>
      </c>
      <c r="D151" s="11" t="s">
        <v>110</v>
      </c>
      <c r="E151" s="12" t="s">
        <v>419</v>
      </c>
      <c r="F151" s="12" t="s">
        <v>1988</v>
      </c>
      <c r="G151" s="13" t="n">
        <v>46235</v>
      </c>
      <c r="H151" s="12" t="s">
        <v>83</v>
      </c>
      <c r="I151" s="12" t="s">
        <v>1989</v>
      </c>
      <c r="J151" s="14" t="s">
        <v>85</v>
      </c>
      <c r="K151" s="11" t="s">
        <v>86</v>
      </c>
      <c r="L151" s="11" t="s">
        <v>87</v>
      </c>
      <c r="M151" s="12" t="s">
        <v>301</v>
      </c>
      <c r="N151" s="12" t="s">
        <v>89</v>
      </c>
      <c r="O151" s="15" t="s">
        <v>1990</v>
      </c>
      <c r="P151" s="11" t="s">
        <v>1991</v>
      </c>
      <c r="Q151" s="12" t="s">
        <v>1992</v>
      </c>
      <c r="R151" s="12" t="s">
        <v>423</v>
      </c>
      <c r="S151" s="12" t="s">
        <v>1993</v>
      </c>
      <c r="T151" s="11" t="s">
        <v>95</v>
      </c>
      <c r="U151" s="11" t="s">
        <v>246</v>
      </c>
      <c r="V151" s="11" t="s">
        <v>97</v>
      </c>
      <c r="W151" s="12" t="s">
        <v>1994</v>
      </c>
      <c r="X151" s="11" t="s">
        <v>86</v>
      </c>
      <c r="Y151" s="12" t="s">
        <v>1995</v>
      </c>
      <c r="Z151" s="12" t="s">
        <v>101</v>
      </c>
      <c r="AA151" s="12" t="s">
        <v>102</v>
      </c>
      <c r="AB151" s="12" t="s">
        <v>1996</v>
      </c>
      <c r="AC151" s="12" t="s">
        <v>1997</v>
      </c>
      <c r="AD151" s="12" t="s">
        <v>1998</v>
      </c>
      <c r="AE151" s="12" t="s">
        <v>106</v>
      </c>
      <c r="AF151" s="12" t="s">
        <v>1999</v>
      </c>
      <c r="AG151" s="12" t="s">
        <v>2000</v>
      </c>
    </row>
  </sheetData>
  <autoFilter ref="A1:AG151"/>
  <hyperlinks>
    <hyperlink ref="O2" r:id="rId1" display="https://csucareers.calstate.edu/en-us/job/559681/assistant-professor-of-information-systems-2-open-positions"/>
    <hyperlink ref="O3" r:id="rId2" display="https://listings.jobs.gmu.edu/jobs/tenure-track-assistant-professor-of-management-information-systems-fairfax-va-virginia-united-states-other"/>
    <hyperlink ref="O4" r:id="rId3" display="https://hofstra.peopleadmin.com/postings/7620"/>
    <hyperlink ref="O5" r:id="rId4" display="https://isu.wd1.myworkdayjobs.com/IowaStateJobs/job/Ames-IA/Professor-of-Information-Systems-and-Business-Analytics--ISBA-_R19605"/>
    <hyperlink ref="O6" r:id="rId5" display="https://careers.hprod.onehcm.usg.edu/psc/careers/CAREERS/HRMS/c/HRS_HRAM_FL.HRS_CG_SEARCH_FL.GBL?Page=HRS_APP_JBPST_FL&amp;Action=U&amp;FOCUS=Applicant&amp;SiteId=43000&amp;JobOpeningId=300876&amp;PostingSeq=1"/>
    <hyperlink ref="O7" r:id="rId6" display="https://jobs.auburn.edu/auburn-careers-home/jobs/10326?lang=en-us"/>
    <hyperlink ref="O8" r:id="rId7" display="https://jobs.phdproject.org/jobs/610084371-open-rank-professor-in-business-analytics-and-information-systems-at-the-pennsylvania-state-university"/>
    <hyperlink ref="O9" r:id="rId8" display="https://jobs.chronicle.com/job/38031418/open-rank-tenure-track-faculty-position-in-information-technology-management/"/>
    <hyperlink ref="O10" r:id="rId9" display="https://jobs.apply.vt.edu/jobs/assistant-professor-blacksburg-virginia-united-states-420b915d-90c6-4f93-9894-8a0ba9845f36"/>
    <hyperlink ref="O11" r:id="rId10" display="https://hr.myu.umn.edu/jobs/ext/375835"/>
    <hyperlink ref="O12" r:id="rId11" display="https://careers.cpp.edu/po/en-us/job/558301/computer-information-systems-assistant-professor"/>
    <hyperlink ref="O13" r:id="rId12" display="https://explore.jobs.ufl.edu/en-us/job/540807/ast-prof"/>
    <hyperlink ref="O14" r:id="rId13" display="https://academiccareers.aisnet.org/jobs/positiontype/professor/"/>
    <hyperlink ref="O15" r:id="rId14" display="https://jobs.chronicle.com/job/38042926/assistant-professor-of-information-systems/"/>
    <hyperlink ref="O16" r:id="rId15" display="https://jobs.chronicle.com/job/38031551/assistant-professor-tenure-track-information-systems-and-information-management/"/>
    <hyperlink ref="O17" r:id="rId16" display="https://recruit.apo.ucla.edu/JPF11233"/>
    <hyperlink ref="O18" r:id="rId17" display="https://apply.interfolio.com/193341"/>
    <hyperlink ref="O19" r:id="rId18" display="https://apply.interfolio.com/191728"/>
    <hyperlink ref="O20" r:id="rId19" display="https://indiana.peopleadmin.com/postings/33755"/>
    <hyperlink ref="O21" r:id="rId20" display="https://miamioh.wd5.myworkdayjobs.com/en-US/miamioh-faculty/job/Assistant-or-Associate-Professor---Information-Systems_JR104290"/>
    <hyperlink ref="O22" r:id="rId21" display="https://jobs.okstate.edu/jobs/assistant-professor-management-science-information-systems-210018-stillwater-oklahoma-united-states"/>
    <hyperlink ref="O23" r:id="rId22" display="https://jobs.sjsu.edu/en-us/job/562131/assistant-professor-school-of-information-systems-technology?1ApplicationSubSourceID=11266"/>
    <hyperlink ref="O24" r:id="rId23" display="https://www.higheredjobs.com/faculty/details.cfm?JobCode=179579070"/>
    <hyperlink ref="O25" r:id="rId24" display="https://www.ugajobsearch.com/postings/495784"/>
    <hyperlink ref="O26" r:id="rId25" display="https://jobs.chronicle.com/job/38042306/open-rank-professor-of-management-information-systems/?TrackID=10"/>
    <hyperlink ref="O27" r:id="rId26" display="https://www.utep.edu/business/about/hunt-insights/articles/2026/08-06-2026-new-faculty-fall-2026.html"/>
    <hyperlink ref="O28" r:id="rId27" display="https://utulsa.edu/departments/accounting-business-information-systems/"/>
    <hyperlink ref="O29" r:id="rId28" display="https://academiccareers.com/job/173340/assistant-professor-of-information-systems/"/>
    <hyperlink ref="O30" r:id="rId29" display="https://jobs.uiowa.edu/faculty/view/76016"/>
    <hyperlink ref="O31" r:id="rId30" display="https://apply.interfolio.com/187644"/>
    <hyperlink ref="O32" r:id="rId31" display="https://www.gsb.stanford.edu/jobs/faculty-positions/operations-information-technology"/>
    <hyperlink ref="O33" r:id="rId32" display="https://jobs.chronicle.com/job/38034183/assistant-teaching-professor-teaching-track-information-systems-and-information-management/?TrackID=10"/>
    <hyperlink ref="O34" r:id="rId33" display="https://careers.purdue.edu/job/Assistant-Professor-of-Management-in-Management-Information-Systems/38552-en_US"/>
    <hyperlink ref="O35" r:id="rId34" display="https://careers.purdue.edu/job/AssociateFull-Professor%2C-MIS/44026-en_US"/>
    <hyperlink ref="O36" r:id="rId35" display="https://www.jobs.virginia.gov/jobs/data-analytics-and-decision-science-faculty-open-rank-tt-t-charlottesville-virginia-united-states"/>
    <hyperlink ref="O37" r:id="rId36" display="https://miamioh.wd5.myworkdayjobs.com/en-US/miamioh-faculty/job/Farmer-School-of-Business/Assistant-Professor_JR104289"/>
    <hyperlink ref="O38" r:id="rId37" display="https://apply.interfolio.com/189675"/>
    <hyperlink ref="O39" r:id="rId38" display="https://binghamton.interviewexchange.com/jobofferdetails.jsp?JOBID=205076"/>
    <hyperlink ref="O40" r:id="rId39" display="https://www.udiversity.com/posting/7276573"/>
    <hyperlink ref="O41" r:id="rId40" display="https://jobs.chronicle.com/job/38039108/lecturer-or-professor-of-practice/?TrackID=10"/>
    <hyperlink ref="O42" r:id="rId41" display="https://www.higheredjobs.com/faculty/details.cfm?JobCode=179538136"/>
    <hyperlink ref="O43" r:id="rId42" display="https://apply.interfolio.com/191584"/>
    <hyperlink ref="O44" r:id="rId43" display="https://apol-recruit.ucsd.edu/JPF04466"/>
    <hyperlink ref="O45" r:id="rId44" display="https://www.tealhq.com/job/adjunct-faculty-department-of-computer-information-systems-open-pool_cf1394da-9120-4e71-8fc7-5e098746cc26"/>
    <hyperlink ref="O46" r:id="rId45" display="https://jobs.utdallas.edu/postings/32958"/>
    <hyperlink ref="O47" r:id="rId46" display="https://recruit.ucsc.edu/JPF02072"/>
    <hyperlink ref="O48" r:id="rId47" display="https://recruit.ap.uci.edu/JPF10123"/>
    <hyperlink ref="O49" r:id="rId48" display="https://jobs.hr.txstate.edu/postings/57741"/>
    <hyperlink ref="O50" r:id="rId49" display="https://www.higheredjobs.com/faculty/details.cfm?JobCode=178958802&amp;Title=Part+Time+Faculty+School+of+Accountancy+and+MIS"/>
    <hyperlink ref="O51" r:id="rId50" display="https://recruit.ucdavis.edu/JPF07773"/>
    <hyperlink ref="O52" r:id="rId51" display="https://facultycareers.gsu.edu/postings/7383"/>
    <hyperlink ref="O53" r:id="rId52" display="https://careers.insidehighered.com/job/3548384/ccb-tenure-track-assistant-professor-in-management-information-systems-mis-530515/"/>
    <hyperlink ref="O54" r:id="rId53" display="https://recruit.ucsc.edu/JPF02091"/>
    <hyperlink ref="O55" r:id="rId54" display="https://american.wd1.myworkdayjobs.com/en-US/AU/job/KSB-Adjunct-Faculty---Information-Technology---Analytics--Open-Countinuous-_R1201"/>
    <hyperlink ref="O56" r:id="rId55" display="https://jobs.utdallas.edu/postings/32668"/>
    <hyperlink ref="O57" r:id="rId56" display="https://jobs.chronicle.com/job/38039773/2026-27-professional-track-faculty-irom/"/>
    <hyperlink ref="O58" r:id="rId57" display="https://www.sorce.jobs/jobs/information-systems-open-rank-tenure-track-or-college-faculty-acu-j1_dNadE8uIFSnXonoZpzLAelS3rzKqz2sjwpBl_DwxOmev1iGrFQ"/>
    <hyperlink ref="O59" r:id="rId58" display="https://jobs.phdproject.org/jobs/584887018-professorial-lecturer-at-american-university-kogod-school-of-business"/>
    <hyperlink ref="O60" r:id="rId59" display="https://jobs.chronicle.com/job/38034229/lecturer/"/>
    <hyperlink ref="O61" r:id="rId60" display="https://jobs.chronicle.com/job/38027818/lowe-s-tech-distinguished-professor-and-program-director-in-cybersecurity/"/>
    <hyperlink ref="O62" r:id="rId61" display="https://jobs.chronicle.com/job/38043081/assistant-professor-of-information-systems-and-operations-management/"/>
    <hyperlink ref="O63" r:id="rId62" display="https://binghamton.interviewexchange.com/jobofferdetails.jsp;jsessionid=D34EC62516DE87F3128274B8DE558D6E?JOBID=198532"/>
    <hyperlink ref="O64" r:id="rId63" display="https://csucareers.calstate.edu/en-us/job/559035/information-systems-and-decision-sciences-parttime-lecturer-pool"/>
    <hyperlink ref="O65" r:id="rId64" display="https://www.csulb.edu/college-of-business/office-of-the-dean/job-opportunities"/>
    <hyperlink ref="O66" r:id="rId65" display="https://csucareers.calstate.edu/en-us/job/555366/202627-ay-lecturer-pool-information-systems"/>
    <hyperlink ref="O67" r:id="rId66" display="https://jobs.chronicle.com/job/38045010/assistant-professor-of-management-science-tenure-track-fall-2027/"/>
    <hyperlink ref="O68" r:id="rId67" display="https://hrjobs.csuohio.edu/postings/19956"/>
    <hyperlink ref="O69" r:id="rId68" display="https://www.higheredjobs.com/faculty/details.cfm?JobCode=179383349"/>
    <hyperlink ref="O70" r:id="rId69" display="https://home.hamptonu.edu/hr/2026/05/29/management-information-systems-mis-professor-department-of-business-administration-and-accounting/"/>
    <hyperlink ref="O71" r:id="rId70" display="https://jobs.chronicle.com/job/38045022/assistant-associate-professor-business-information-systems-and-analytics/"/>
    <hyperlink ref="O72" r:id="rId71" display="https://www.ndsu.edu/business/our-team/join-our-team/adjunct-instructors"/>
    <hyperlink ref="O73" r:id="rId72" display="https://www.tealhq.com/job/instructor-pool-accounting-finance-and-information-systems_7ea1a8d9ac5dd3d434dd54e18a9ddb6d6655f"/>
    <hyperlink ref="O74" r:id="rId73" display="https://jobs.hrc.pdx.edu/postings/49706"/>
    <hyperlink ref="O75" r:id="rId74" display="https://careers.purdue.edu/job/Clinical-Assistant-Professor,-MIS/41739-en_US/"/>
    <hyperlink ref="O76" r:id="rId75" display="https://jobs.rutgers.edu/postings/282025"/>
    <hyperlink ref="O77" r:id="rId76" display="https://www3.fox.temple.edu/discover/2026/08/18/7-new-researchers-join-fox-school-faculty/"/>
    <hyperlink ref="O78" r:id="rId77" display="https://www.fox.temple.edu/faculty-research/open-faculty-positions"/>
    <hyperlink ref="O79" r:id="rId78" display="https://jobs.tcu.edu/jobs/information-systems-faculty-adjunct-pool-tcu-main-campus-texas-united-states-4e0b7d2f-ca20-46aa-a3d6-d4430778a4fe"/>
    <hyperlink ref="O80" r:id="rId79" display="https://jobs.tsu.edu/postings/11719"/>
    <hyperlink ref="O81" r:id="rId80" display="https://jobs.world.edu/jobs/lecturer-senior-lecturer-2/"/>
    <hyperlink ref="O82" r:id="rId81" display="https://tulane-ibqejb.fa.ocs.oraclecloud.com/hcmUI/CandidateExperience/en/sites/CX_1001/job/1738"/>
    <hyperlink ref="O83" r:id="rId82" display="https://recruit.ap.uci.edu/JPF09384"/>
    <hyperlink ref="O84" r:id="rId83" display="https://careers.uh.edu/jobs/adjunct-faculty-decision-information-sciences-houston-texas-united-states"/>
    <hyperlink ref="O85" r:id="rId84" display="https://www.indeed.com/q-bioinformatics-lecturers-l-louisville,-ky-jobs.html"/>
    <hyperlink ref="O86" r:id="rId85" display="https://careers.insidehighered.com/job/3473108/associate-lecturer-college-of-management/?TrackID=11"/>
    <hyperlink ref="O87" r:id="rId86" display="https://jobs.chronicle.com/job/38045946/assistant-professor-management-information-systems/"/>
    <hyperlink ref="O88" r:id="rId87" display="https://careers.untsystem.edu/jobs/adjunct-instructor-information-technology-decision-sciences-denton-texas-united-states-b68aaa16-7188-4215-bc57-b4d00f89954a"/>
    <hyperlink ref="O89" r:id="rId88" display="https://www.highered360.com/jobs/JobDetail.cfm?JobID=179212463"/>
    <hyperlink ref="O90" r:id="rId89" display="https://usccareers.usc.edu/job/los-angeles/adjunct-professor-of-data-sciences-and-operations/1209/93285006512"/>
    <hyperlink ref="O91" r:id="rId90" display="https://www.uta.edu/academics/schools-colleges/business/departments/information-systems-and-operations-management"/>
    <hyperlink ref="O92" r:id="rId91" display="https://www.disabledperson.com/jobs/75493209-tenure-track-faculty-management-information-systems"/>
    <hyperlink ref="O93" r:id="rId92" display="https://wpi.wd5.myworkdayjobs.com/en-US/WPI_External_Career_Site/job/Assistant-Professor-of-Information-Systems-Block-Chain_R0003454"/>
    <hyperlink ref="O94" r:id="rId93" display="https://careers.hprod.onehcm.usg.edu/psc/careers/CAREERS/HRMS/c/HRS_HRAM_FL.HRS_CG_SEARCH_FL.GBL?Page=HRS_APP_JBPST_FL&amp;Action=U&amp;FOCUS=Applicant&amp;SiteId=12000&amp;JobOpeningId=290816&amp;PostingSeq=1"/>
    <hyperlink ref="O95" r:id="rId94" display="https://www.bu.edu/questrom/faculty/adjunct-recruitment/"/>
    <hyperlink ref="O96" r:id="rId95" display="https://www.higheredjobs.com/faculty/details.cfm?JobCode=179257832"/>
    <hyperlink ref="O97" r:id="rId96" location="faculty" display="https://business.gwu.edu/about/departments/decision-sciences#faculty"/>
    <hyperlink ref="O98" r:id="rId97" display="https://facultycareers.gsu.edu/postings/5029"/>
    <hyperlink ref="O99" r:id="rId98" display="https://www.higheredjobs.com/faculty/details.cfm?JobCode=179415581"/>
    <hyperlink ref="O100" r:id="rId99" display="https://howard.wd1.myworkdayjobs.com/en-US/HU/job/Assistant-Professor_JR107320-1"/>
    <hyperlink ref="O101" r:id="rId100" display="https://apply.interfolio.com/187586"/>
    <hyperlink ref="O102" r:id="rId101" display="https://jobs.chronicle.com/job/38009688/ay27-adjunct-faculty-all-business-school-disciplines/"/>
    <hyperlink ref="O103" r:id="rId102" display="https://careers.insidehighered.com/job/3560822/assistant-clinical-track-faculty-business-analytics/"/>
    <hyperlink ref="O104" r:id="rId103" display="https://jobs.okstate.edu/jobs/instructor-of-professional-practice-22154-stillwater-oklahoma-united-states-payne-county?applicant_id=A71A9E4B-434B-4419-87FA-F03DD916D799&amp;ad_id=38769D6A-0B7C-44FE-85D3-CDC9826CD8E5"/>
    <hyperlink ref="O105" r:id="rId104" display="https://oregonstate.wd501.myworkdayjobs.com/en-US/OSU_Careers_Site/job/Instructor-Pool---2026-2027--Marketing--Analytics-and-Design_JR0000390"/>
    <hyperlink ref="O106" r:id="rId105" display="https://jobs.rowan.edu/"/>
    <hyperlink ref="O107" r:id="rId106" display="https://jobs.rutgers.edu/postings/278711"/>
    <hyperlink ref="O108" r:id="rId107" display="https://jobs.rutgers.edu/postings/279358"/>
    <hyperlink ref="O109" r:id="rId108" display="https://jobs.rutgers.edu/postings/161959"/>
    <hyperlink ref="O110" r:id="rId109" display="https://jobs.rutgers.edu/postings/271801"/>
    <hyperlink ref="O111" r:id="rId110" display="https://inside.southernct.edu/human-resources/jobs/part-time-instructors-school-of-business"/>
    <hyperlink ref="O112" r:id="rId111" display="https://www.ziprecruiter.com/Jobs/Business-Analytics/-in-Colorado-Springs,CO"/>
    <hyperlink ref="O113" r:id="rId112" display="https://careers.uh.edu/jobs/professor-of-practice-decision-information-sciences-houston-texas-united-states-fce2c1fc-eb84-4ad7-af50-c6f6d93d7eb6"/>
    <hyperlink ref="O114" r:id="rId113" display="https://ukjobs.uky.edu/postings/650748"/>
    <hyperlink ref="O115" r:id="rId114" display="https://jobs.chronicle.com/job/37966075/adjunct-lecturer/"/>
    <hyperlink ref="O116" r:id="rId115" display="https://careers.miami.edu/us/en/job/R100081474/MHBS-Assistant-Associate-Full-Professor"/>
    <hyperlink ref="O117" r:id="rId116" display="https://jobs.chronicle.com/job/37973536/assistant-teaching-professor-ai-and-business/"/>
    <hyperlink ref="O118" r:id="rId117" display="https://jobs.uncw.edu/postings/39244"/>
    <hyperlink ref="O119" r:id="rId118" display="https://uscjobs.sc.edu/postings/214247"/>
    <hyperlink ref="O120" r:id="rId119" display="https://uscjobs.sc.edu/postings/search"/>
    <hyperlink ref="O121" r:id="rId120" display="https://jobs.chronicle.com/job/38022740/tenure-track-faculty-accounting-and-information-systems/"/>
    <hyperlink ref="O122" r:id="rId121" display="https://www.astate.edu/college/business/faculty-staff/management-marketing/"/>
    <hyperlink ref="O123" r:id="rId122" display="https://jobs.chronicle.com/job/38027766/instructor-of-applied-statistics-and-business-analytics/?TrackID=10"/>
    <hyperlink ref="O124" r:id="rId123" display="https://careers.nmsu.edu/jobs/college-assistant-professor-remote-locations-new-mexico-united-states-e353bdda-98b4-480b-a801-57ceb8b5a932"/>
    <hyperlink ref="O125" r:id="rId124" display="https://careers.nmsu.edu/jobs/college-assistant-professor-las-cruces-new-mexico-united-states-a2750562-96c8-46b8-a2a4-479016a7e235"/>
    <hyperlink ref="O126" r:id="rId125" display="https://apply.interfolio.com/192153"/>
    <hyperlink ref="O127" r:id="rId126" display="https://careers.insidehighered.com/job/3557474/lecturer-ii-management-information-systems/"/>
    <hyperlink ref="O128" r:id="rId127" display="https://careers.sdsu.edu/en-us/job/559998/department-of-management-information-systems-assistant-professor-pool-information-systems-20272028"/>
    <hyperlink ref="O129" r:id="rId128" display="https://careers.sdsu.edu/en-us/job/560000/department-of-management-information-systems-assistant-professor-pool-data-science-20272028"/>
    <hyperlink ref="O130" r:id="rId129" display="https://csucareers.calstate.edu/mob/cw/en-us/job/556788/2627-ay-temporary-faculty-pool-lecturer-lecturer-in-business-law"/>
    <hyperlink ref="O131" r:id="rId130" display="https://www.stonybrook.edu/commcms/faculty-jobs/positions/index.php"/>
    <hyperlink ref="O132" r:id="rId131" display="https://jobs.chronicle.com/job/38049560/assistant-associate-full-professor-open-rank-department-of-information-systems/?TrackID=10"/>
    <hyperlink ref="O133" r:id="rId132" display="https://www.jobs.virginia.gov/jobs/information-systems-faculty-vcu-main-campus-virginia-united-states"/>
    <hyperlink ref="O134" r:id="rId133" display="https://jobs.chronicle.com/job/38020837/harvard-business-school-faculty-openings/"/>
    <hyperlink ref="O135" r:id="rId134" display="https://www.bgsu.edu/business/faculty-and-staff/job-opportunities.html"/>
    <hyperlink ref="O136" r:id="rId135" display="https://spartantalent.uncg.edu/postings/33841"/>
    <hyperlink ref="O137" r:id="rId136" display="https://jobs.tcu.edu/jobs/instructor-instructor-ii-or-senior-instructor-of-analytics-statistics-tcu-main-campus-texas-united-states"/>
    <hyperlink ref="O138" r:id="rId137" display="https://jobs.chronicle.com/job/38043006/assistant-professor-computer-information-systems-496945-/"/>
    <hyperlink ref="O139" r:id="rId138" display="https://academiccareers.com/job/180278/assistant-or-associate-professor-ids-enterprise-ai-systems/"/>
    <hyperlink ref="O140" r:id="rId139" display="https://jobs.ncsu.edu/postings/223346"/>
    <hyperlink ref="O141" r:id="rId140" display="https://jobs.rutgers.edu/postings/280198"/>
    <hyperlink ref="O142" r:id="rId141" display="https://careers.purdue.edu/job/Clinical-Assistant-Professor,-Quantitative-Methods/44130-en_US"/>
    <hyperlink ref="O143" r:id="rId142" display="https://www.jobs.virginia.gov/jobs/adjunct-instructor-information-systems-school-of-business-vcu-main-campus-virginia-united-states"/>
    <hyperlink ref="O144" r:id="rId143" display="https://www.ohiouniversityjobs.com/postings/56719"/>
    <hyperlink ref="O145" r:id="rId144" display="https://aprecruit.berkeley.edu/JPF05340"/>
    <hyperlink ref="O146" r:id="rId145" display="https://careers.pageuppeople.com/873/sa/en-us/job/553828/202627-ay-lecturer-pool-management-information-systems-business-analytics"/>
    <hyperlink ref="O147" r:id="rId146" display="https://tallo.com/talent/job/education/economics-professor/ga/atlanta/professor-of-practice-0238a939"/>
    <hyperlink ref="O148" r:id="rId147" display="https://indiana.peopleadmin.com/postings/34575"/>
    <hyperlink ref="O149" r:id="rId148" display="https://www.higheredjobs.com/faculty/details.cfm?JobCode=179294558"/>
    <hyperlink ref="O150" r:id="rId149" display="https://careers.utrgv.edu/postings/50193"/>
    <hyperlink ref="O151" r:id="rId150" display="https://careers.ua.edu/jobs/renewable-contract-instructor-in-applied-statistics-527547-tuscaloosa-alabama-united-states"/>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5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08080"/>
    <pageSetUpPr fitToPage="false"/>
  </sheetPr>
  <dimension ref="A1:AG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6" ySplit="1" topLeftCell="G2" activePane="bottomRight" state="frozen"/>
      <selection pane="topLeft" activeCell="A1" activeCellId="0" sqref="A1"/>
      <selection pane="topRight" activeCell="G1" activeCellId="0" sqref="G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6"/>
    <col collapsed="false" customWidth="true" hidden="false" outlineLevel="0" max="3" min="3" style="0" width="22"/>
    <col collapsed="false" customWidth="true" hidden="false" outlineLevel="0" max="4" min="4" style="0" width="11"/>
    <col collapsed="false" customWidth="true" hidden="false" outlineLevel="0" max="5" min="5" style="0" width="22"/>
    <col collapsed="false" customWidth="true" hidden="false" outlineLevel="0" max="6" min="6" style="0" width="36"/>
    <col collapsed="false" customWidth="true" hidden="false" outlineLevel="0" max="7" min="7" style="0" width="11"/>
    <col collapsed="false" customWidth="true" hidden="false" outlineLevel="0" max="9" min="8" style="0" width="16"/>
    <col collapsed="false" customWidth="true" hidden="false" outlineLevel="0" max="10" min="10" style="0" width="30"/>
    <col collapsed="false" customWidth="true" hidden="false" outlineLevel="0" max="11" min="11" style="0" width="14"/>
    <col collapsed="false" customWidth="true" hidden="false" outlineLevel="0" max="12" min="12" style="0" width="13"/>
    <col collapsed="false" customWidth="true" hidden="false" outlineLevel="0" max="13" min="13" style="0" width="26"/>
    <col collapsed="false" customWidth="true" hidden="false" outlineLevel="0" max="14" min="14" style="0" width="30"/>
    <col collapsed="false" customWidth="true" hidden="false" outlineLevel="0" max="15" min="15" style="0" width="35"/>
    <col collapsed="false" customWidth="true" hidden="false" outlineLevel="0" max="16" min="16" style="0" width="11"/>
    <col collapsed="false" customWidth="true" hidden="false" outlineLevel="0" max="18" min="17" style="0" width="22"/>
    <col collapsed="false" customWidth="true" hidden="false" outlineLevel="0" max="19" min="19" style="0" width="16"/>
    <col collapsed="false" customWidth="true" hidden="false" outlineLevel="0" max="21" min="20" style="0" width="6"/>
    <col collapsed="false" customWidth="true" hidden="false" outlineLevel="0" max="22" min="22" style="0" width="11"/>
    <col collapsed="false" customWidth="true" hidden="false" outlineLevel="0" max="23" min="23" style="0" width="45"/>
    <col collapsed="false" customWidth="true" hidden="false" outlineLevel="0" max="24" min="24" style="0" width="14"/>
    <col collapsed="false" customWidth="true" hidden="false" outlineLevel="0" max="25" min="25" style="0" width="40"/>
    <col collapsed="false" customWidth="true" hidden="false" outlineLevel="0" max="26" min="26" style="0" width="22"/>
    <col collapsed="false" customWidth="true" hidden="false" outlineLevel="0" max="29" min="27" style="0" width="40"/>
    <col collapsed="false" customWidth="true" hidden="false" outlineLevel="0" max="30" min="30" style="0" width="45"/>
    <col collapsed="false" customWidth="true" hidden="false" outlineLevel="0" max="31" min="31" style="0" width="18"/>
    <col collapsed="false" customWidth="true" hidden="false" outlineLevel="0" max="32" min="32" style="0" width="30"/>
    <col collapsed="false" customWidth="true" hidden="false" outlineLevel="0" max="33" min="33" style="0" width="40"/>
  </cols>
  <sheetData>
    <row r="1" customFormat="false" ht="42" hidden="false" customHeight="true" outlineLevel="0" collapsed="false">
      <c r="A1" s="9" t="s">
        <v>49</v>
      </c>
      <c r="B1" s="9" t="s">
        <v>50</v>
      </c>
      <c r="C1" s="9" t="s">
        <v>31</v>
      </c>
      <c r="D1" s="9" t="s">
        <v>51</v>
      </c>
      <c r="E1" s="9" t="s">
        <v>52</v>
      </c>
      <c r="F1" s="9" t="s">
        <v>53</v>
      </c>
      <c r="G1" s="9" t="s">
        <v>54</v>
      </c>
      <c r="H1" s="9" t="s">
        <v>55</v>
      </c>
      <c r="I1" s="9" t="s">
        <v>56</v>
      </c>
      <c r="J1" s="9" t="s">
        <v>57</v>
      </c>
      <c r="K1" s="9" t="s">
        <v>58</v>
      </c>
      <c r="L1" s="9" t="s">
        <v>59</v>
      </c>
      <c r="M1" s="9" t="s">
        <v>35</v>
      </c>
      <c r="N1" s="9" t="s">
        <v>39</v>
      </c>
      <c r="O1" s="9" t="s">
        <v>60</v>
      </c>
      <c r="P1" s="9" t="s">
        <v>61</v>
      </c>
      <c r="Q1" s="9" t="s">
        <v>62</v>
      </c>
      <c r="R1" s="9" t="s">
        <v>63</v>
      </c>
      <c r="S1" s="9" t="s">
        <v>64</v>
      </c>
      <c r="T1" s="9" t="s">
        <v>65</v>
      </c>
      <c r="U1" s="9" t="s">
        <v>66</v>
      </c>
      <c r="V1" s="9" t="s">
        <v>67</v>
      </c>
      <c r="W1" s="9" t="s">
        <v>68</v>
      </c>
      <c r="X1" s="9" t="s">
        <v>69</v>
      </c>
      <c r="Y1" s="9" t="s">
        <v>70</v>
      </c>
      <c r="Z1" s="9" t="s">
        <v>71</v>
      </c>
      <c r="AA1" s="9" t="s">
        <v>72</v>
      </c>
      <c r="AB1" s="9" t="s">
        <v>73</v>
      </c>
      <c r="AC1" s="9" t="s">
        <v>74</v>
      </c>
      <c r="AD1" s="9" t="s">
        <v>75</v>
      </c>
      <c r="AE1" s="9" t="s">
        <v>76</v>
      </c>
      <c r="AF1" s="9" t="s">
        <v>77</v>
      </c>
      <c r="AG1" s="9" t="s">
        <v>78</v>
      </c>
    </row>
    <row r="2" customFormat="false" ht="60" hidden="false" customHeight="true" outlineLevel="0" collapsed="false">
      <c r="A2" s="25" t="s">
        <v>1884</v>
      </c>
      <c r="B2" s="16" t="n">
        <v>5</v>
      </c>
      <c r="C2" s="12" t="s">
        <v>297</v>
      </c>
      <c r="D2" s="11" t="s">
        <v>110</v>
      </c>
      <c r="E2" s="12" t="s">
        <v>1485</v>
      </c>
      <c r="F2" s="12" t="s">
        <v>1885</v>
      </c>
      <c r="G2" s="13" t="n">
        <v>46376</v>
      </c>
      <c r="H2" s="12" t="s">
        <v>83</v>
      </c>
      <c r="I2" s="12" t="s">
        <v>1886</v>
      </c>
      <c r="J2" s="26" t="s">
        <v>1887</v>
      </c>
      <c r="K2" s="11" t="s">
        <v>86</v>
      </c>
      <c r="L2" s="11" t="s">
        <v>1888</v>
      </c>
      <c r="M2" s="12" t="s">
        <v>284</v>
      </c>
      <c r="N2" s="12" t="s">
        <v>89</v>
      </c>
      <c r="O2" s="15" t="s">
        <v>1889</v>
      </c>
      <c r="P2" s="11" t="s">
        <v>91</v>
      </c>
      <c r="Q2" s="12" t="s">
        <v>629</v>
      </c>
      <c r="R2" s="12" t="s">
        <v>1061</v>
      </c>
      <c r="S2" s="12" t="s">
        <v>1890</v>
      </c>
      <c r="T2" s="11" t="s">
        <v>95</v>
      </c>
      <c r="U2" s="11" t="s">
        <v>168</v>
      </c>
      <c r="V2" s="11" t="s">
        <v>97</v>
      </c>
      <c r="W2" s="12" t="s">
        <v>1891</v>
      </c>
      <c r="X2" s="11" t="s">
        <v>1892</v>
      </c>
      <c r="Y2" s="12" t="s">
        <v>1893</v>
      </c>
      <c r="Z2" s="12" t="s">
        <v>101</v>
      </c>
      <c r="AA2" s="12" t="s">
        <v>1894</v>
      </c>
      <c r="AB2" s="12" t="s">
        <v>1895</v>
      </c>
      <c r="AC2" s="12" t="s">
        <v>1896</v>
      </c>
      <c r="AD2" s="12" t="s">
        <v>1897</v>
      </c>
      <c r="AE2" s="12" t="s">
        <v>106</v>
      </c>
      <c r="AF2" s="12" t="s">
        <v>1898</v>
      </c>
      <c r="AG2" s="12" t="s">
        <v>1899</v>
      </c>
    </row>
    <row r="3" customFormat="false" ht="60" hidden="false" customHeight="true" outlineLevel="0" collapsed="false">
      <c r="A3" s="25" t="s">
        <v>1884</v>
      </c>
      <c r="B3" s="16" t="n">
        <v>5</v>
      </c>
      <c r="C3" s="12" t="s">
        <v>297</v>
      </c>
      <c r="D3" s="11" t="s">
        <v>110</v>
      </c>
      <c r="E3" s="12" t="s">
        <v>1900</v>
      </c>
      <c r="F3" s="12" t="s">
        <v>1901</v>
      </c>
      <c r="G3" s="13" t="n">
        <v>46491</v>
      </c>
      <c r="H3" s="12" t="s">
        <v>446</v>
      </c>
      <c r="I3" s="12" t="s">
        <v>1902</v>
      </c>
      <c r="J3" s="26" t="s">
        <v>1887</v>
      </c>
      <c r="K3" s="11" t="s">
        <v>86</v>
      </c>
      <c r="L3" s="11" t="s">
        <v>1888</v>
      </c>
      <c r="M3" s="12" t="s">
        <v>284</v>
      </c>
      <c r="N3" s="12" t="s">
        <v>89</v>
      </c>
      <c r="O3" s="15" t="s">
        <v>1903</v>
      </c>
      <c r="P3" s="11" t="s">
        <v>91</v>
      </c>
      <c r="Q3" s="12" t="s">
        <v>1904</v>
      </c>
      <c r="R3" s="12" t="s">
        <v>304</v>
      </c>
      <c r="S3" s="12" t="s">
        <v>1905</v>
      </c>
      <c r="T3" s="11" t="s">
        <v>95</v>
      </c>
      <c r="U3" s="11" t="s">
        <v>184</v>
      </c>
      <c r="V3" s="11" t="s">
        <v>97</v>
      </c>
      <c r="W3" s="12" t="s">
        <v>1906</v>
      </c>
      <c r="X3" s="11" t="s">
        <v>1907</v>
      </c>
      <c r="Y3" s="12" t="s">
        <v>1908</v>
      </c>
      <c r="Z3" s="12" t="s">
        <v>101</v>
      </c>
      <c r="AA3" s="12" t="s">
        <v>1894</v>
      </c>
      <c r="AB3" s="12" t="s">
        <v>1909</v>
      </c>
      <c r="AC3" s="12" t="s">
        <v>1910</v>
      </c>
      <c r="AD3" s="12" t="s">
        <v>1911</v>
      </c>
      <c r="AE3" s="12" t="s">
        <v>106</v>
      </c>
      <c r="AF3" s="12"/>
      <c r="AG3" s="12" t="s">
        <v>1912</v>
      </c>
    </row>
    <row r="4" customFormat="false" ht="60" hidden="false" customHeight="true" outlineLevel="0" collapsed="false">
      <c r="A4" s="25" t="s">
        <v>1884</v>
      </c>
      <c r="B4" s="11" t="n">
        <v>4</v>
      </c>
      <c r="C4" s="12" t="s">
        <v>297</v>
      </c>
      <c r="D4" s="11" t="s">
        <v>110</v>
      </c>
      <c r="E4" s="12" t="s">
        <v>1913</v>
      </c>
      <c r="F4" s="12" t="s">
        <v>1914</v>
      </c>
      <c r="G4" s="13" t="n">
        <v>46508</v>
      </c>
      <c r="H4" s="12" t="s">
        <v>282</v>
      </c>
      <c r="I4" s="12" t="s">
        <v>1915</v>
      </c>
      <c r="J4" s="26" t="s">
        <v>1887</v>
      </c>
      <c r="K4" s="11" t="s">
        <v>514</v>
      </c>
      <c r="L4" s="11" t="s">
        <v>1888</v>
      </c>
      <c r="M4" s="12" t="s">
        <v>284</v>
      </c>
      <c r="N4" s="12" t="s">
        <v>89</v>
      </c>
      <c r="O4" s="15" t="s">
        <v>1916</v>
      </c>
      <c r="P4" s="11" t="s">
        <v>91</v>
      </c>
      <c r="Q4" s="12" t="s">
        <v>1917</v>
      </c>
      <c r="R4" s="12" t="s">
        <v>1918</v>
      </c>
      <c r="S4" s="12" t="s">
        <v>1919</v>
      </c>
      <c r="T4" s="11" t="s">
        <v>95</v>
      </c>
      <c r="U4" s="11" t="s">
        <v>96</v>
      </c>
      <c r="V4" s="11" t="s">
        <v>97</v>
      </c>
      <c r="W4" s="12" t="s">
        <v>1920</v>
      </c>
      <c r="X4" s="11" t="s">
        <v>1921</v>
      </c>
      <c r="Y4" s="12" t="s">
        <v>1922</v>
      </c>
      <c r="Z4" s="12" t="s">
        <v>522</v>
      </c>
      <c r="AA4" s="12" t="s">
        <v>1894</v>
      </c>
      <c r="AB4" s="12" t="s">
        <v>1923</v>
      </c>
      <c r="AC4" s="12" t="s">
        <v>1924</v>
      </c>
      <c r="AD4" s="12" t="s">
        <v>1925</v>
      </c>
      <c r="AE4" s="12" t="s">
        <v>106</v>
      </c>
      <c r="AF4" s="12"/>
      <c r="AG4" s="12" t="s">
        <v>1926</v>
      </c>
    </row>
    <row r="5" customFormat="false" ht="60" hidden="false" customHeight="true" outlineLevel="0" collapsed="false">
      <c r="A5" s="25" t="s">
        <v>1884</v>
      </c>
      <c r="B5" s="16" t="n">
        <v>5</v>
      </c>
      <c r="C5" s="12" t="s">
        <v>297</v>
      </c>
      <c r="D5" s="11" t="s">
        <v>110</v>
      </c>
      <c r="E5" s="12" t="s">
        <v>1927</v>
      </c>
      <c r="F5" s="12" t="s">
        <v>1928</v>
      </c>
      <c r="G5" s="11"/>
      <c r="H5" s="12" t="s">
        <v>487</v>
      </c>
      <c r="I5" s="12" t="s">
        <v>134</v>
      </c>
      <c r="J5" s="26" t="s">
        <v>1887</v>
      </c>
      <c r="K5" s="11" t="s">
        <v>86</v>
      </c>
      <c r="L5" s="11" t="s">
        <v>1888</v>
      </c>
      <c r="M5" s="12" t="s">
        <v>284</v>
      </c>
      <c r="N5" s="12" t="s">
        <v>89</v>
      </c>
      <c r="O5" s="15" t="s">
        <v>1929</v>
      </c>
      <c r="P5" s="11" t="s">
        <v>136</v>
      </c>
      <c r="Q5" s="12" t="s">
        <v>1930</v>
      </c>
      <c r="R5" s="12" t="s">
        <v>304</v>
      </c>
      <c r="S5" s="12" t="s">
        <v>1931</v>
      </c>
      <c r="T5" s="11" t="s">
        <v>183</v>
      </c>
      <c r="U5" s="11" t="s">
        <v>96</v>
      </c>
      <c r="V5" s="11" t="s">
        <v>97</v>
      </c>
      <c r="W5" s="12" t="s">
        <v>1932</v>
      </c>
      <c r="X5" s="11" t="s">
        <v>1933</v>
      </c>
      <c r="Y5" s="12" t="s">
        <v>1934</v>
      </c>
      <c r="Z5" s="12" t="s">
        <v>101</v>
      </c>
      <c r="AA5" s="12" t="s">
        <v>1894</v>
      </c>
      <c r="AB5" s="12" t="s">
        <v>1935</v>
      </c>
      <c r="AC5" s="12" t="s">
        <v>1936</v>
      </c>
      <c r="AD5" s="12" t="s">
        <v>1937</v>
      </c>
      <c r="AE5" s="12" t="s">
        <v>106</v>
      </c>
      <c r="AF5" s="12" t="s">
        <v>1938</v>
      </c>
      <c r="AG5" s="12" t="s">
        <v>1939</v>
      </c>
    </row>
    <row r="6" customFormat="false" ht="60" hidden="false" customHeight="true" outlineLevel="0" collapsed="false">
      <c r="A6" s="25" t="s">
        <v>1884</v>
      </c>
      <c r="B6" s="16" t="n">
        <v>5</v>
      </c>
      <c r="C6" s="12" t="s">
        <v>109</v>
      </c>
      <c r="D6" s="11" t="s">
        <v>110</v>
      </c>
      <c r="E6" s="12" t="s">
        <v>404</v>
      </c>
      <c r="F6" s="12" t="s">
        <v>1940</v>
      </c>
      <c r="G6" s="11"/>
      <c r="H6" s="12" t="s">
        <v>544</v>
      </c>
      <c r="I6" s="12" t="s">
        <v>86</v>
      </c>
      <c r="J6" s="26" t="s">
        <v>1941</v>
      </c>
      <c r="K6" s="11" t="s">
        <v>86</v>
      </c>
      <c r="L6" s="11" t="s">
        <v>1888</v>
      </c>
      <c r="M6" s="12" t="s">
        <v>301</v>
      </c>
      <c r="N6" s="12" t="s">
        <v>89</v>
      </c>
      <c r="O6" s="15" t="s">
        <v>1942</v>
      </c>
      <c r="P6" s="11" t="s">
        <v>628</v>
      </c>
      <c r="Q6" s="12" t="s">
        <v>1943</v>
      </c>
      <c r="R6" s="12" t="s">
        <v>1944</v>
      </c>
      <c r="S6" s="12" t="s">
        <v>1945</v>
      </c>
      <c r="T6" s="11" t="s">
        <v>95</v>
      </c>
      <c r="U6" s="11" t="s">
        <v>228</v>
      </c>
      <c r="V6" s="11" t="s">
        <v>97</v>
      </c>
      <c r="W6" s="12" t="s">
        <v>1946</v>
      </c>
      <c r="X6" s="11" t="s">
        <v>86</v>
      </c>
      <c r="Y6" s="12" t="s">
        <v>1947</v>
      </c>
      <c r="Z6" s="12" t="s">
        <v>101</v>
      </c>
      <c r="AA6" s="12" t="s">
        <v>1616</v>
      </c>
      <c r="AB6" s="12" t="s">
        <v>1948</v>
      </c>
      <c r="AC6" s="12" t="s">
        <v>1949</v>
      </c>
      <c r="AD6" s="12" t="s">
        <v>1950</v>
      </c>
      <c r="AE6" s="12" t="s">
        <v>106</v>
      </c>
      <c r="AF6" s="12" t="s">
        <v>1951</v>
      </c>
      <c r="AG6" s="12" t="s">
        <v>1952</v>
      </c>
    </row>
    <row r="7" customFormat="false" ht="60" hidden="false" customHeight="true" outlineLevel="0" collapsed="false">
      <c r="A7" s="25" t="s">
        <v>1884</v>
      </c>
      <c r="B7" s="16" t="n">
        <v>5</v>
      </c>
      <c r="C7" s="12" t="s">
        <v>109</v>
      </c>
      <c r="D7" s="11" t="s">
        <v>110</v>
      </c>
      <c r="E7" s="12" t="s">
        <v>1777</v>
      </c>
      <c r="F7" s="12" t="s">
        <v>1953</v>
      </c>
      <c r="G7" s="11"/>
      <c r="H7" s="12" t="s">
        <v>544</v>
      </c>
      <c r="I7" s="12" t="s">
        <v>86</v>
      </c>
      <c r="J7" s="26" t="s">
        <v>1954</v>
      </c>
      <c r="K7" s="11" t="s">
        <v>86</v>
      </c>
      <c r="L7" s="11" t="s">
        <v>1888</v>
      </c>
      <c r="M7" s="12" t="s">
        <v>88</v>
      </c>
      <c r="N7" s="12" t="s">
        <v>1955</v>
      </c>
      <c r="O7" s="15" t="s">
        <v>1956</v>
      </c>
      <c r="P7" s="11" t="s">
        <v>136</v>
      </c>
      <c r="Q7" s="12" t="s">
        <v>1781</v>
      </c>
      <c r="R7" s="12" t="s">
        <v>1782</v>
      </c>
      <c r="S7" s="12" t="s">
        <v>1957</v>
      </c>
      <c r="T7" s="11" t="s">
        <v>95</v>
      </c>
      <c r="U7" s="11" t="s">
        <v>139</v>
      </c>
      <c r="V7" s="11" t="s">
        <v>97</v>
      </c>
      <c r="W7" s="12" t="s">
        <v>1958</v>
      </c>
      <c r="X7" s="11" t="s">
        <v>1785</v>
      </c>
      <c r="Y7" s="12" t="s">
        <v>1959</v>
      </c>
      <c r="Z7" s="12" t="s">
        <v>101</v>
      </c>
      <c r="AA7" s="12" t="s">
        <v>1616</v>
      </c>
      <c r="AB7" s="12" t="s">
        <v>1960</v>
      </c>
      <c r="AC7" s="12" t="s">
        <v>1961</v>
      </c>
      <c r="AD7" s="12" t="s">
        <v>1962</v>
      </c>
      <c r="AE7" s="12" t="s">
        <v>106</v>
      </c>
      <c r="AF7" s="12"/>
      <c r="AG7" s="12" t="s">
        <v>1963</v>
      </c>
    </row>
    <row r="8" customFormat="false" ht="60" hidden="false" customHeight="true" outlineLevel="0" collapsed="false">
      <c r="A8" s="25" t="s">
        <v>1884</v>
      </c>
      <c r="B8" s="16" t="n">
        <v>5</v>
      </c>
      <c r="C8" s="12" t="s">
        <v>297</v>
      </c>
      <c r="D8" s="11" t="s">
        <v>110</v>
      </c>
      <c r="E8" s="12" t="s">
        <v>1137</v>
      </c>
      <c r="F8" s="12" t="s">
        <v>1964</v>
      </c>
      <c r="G8" s="11"/>
      <c r="H8" s="12" t="s">
        <v>487</v>
      </c>
      <c r="I8" s="12" t="s">
        <v>134</v>
      </c>
      <c r="J8" s="26" t="s">
        <v>1887</v>
      </c>
      <c r="K8" s="11" t="s">
        <v>514</v>
      </c>
      <c r="L8" s="11" t="s">
        <v>1888</v>
      </c>
      <c r="M8" s="12" t="s">
        <v>284</v>
      </c>
      <c r="N8" s="12" t="s">
        <v>89</v>
      </c>
      <c r="O8" s="15" t="s">
        <v>1965</v>
      </c>
      <c r="P8" s="11" t="s">
        <v>136</v>
      </c>
      <c r="Q8" s="12" t="s">
        <v>1966</v>
      </c>
      <c r="R8" s="12" t="s">
        <v>1141</v>
      </c>
      <c r="S8" s="12" t="s">
        <v>933</v>
      </c>
      <c r="T8" s="11" t="s">
        <v>183</v>
      </c>
      <c r="U8" s="11" t="s">
        <v>743</v>
      </c>
      <c r="V8" s="11" t="s">
        <v>97</v>
      </c>
      <c r="W8" s="12" t="s">
        <v>1967</v>
      </c>
      <c r="X8" s="11" t="s">
        <v>1968</v>
      </c>
      <c r="Y8" s="12" t="s">
        <v>1969</v>
      </c>
      <c r="Z8" s="12" t="s">
        <v>522</v>
      </c>
      <c r="AA8" s="12" t="s">
        <v>1894</v>
      </c>
      <c r="AB8" s="12" t="s">
        <v>1970</v>
      </c>
      <c r="AC8" s="12" t="s">
        <v>1971</v>
      </c>
      <c r="AD8" s="12" t="s">
        <v>1972</v>
      </c>
      <c r="AE8" s="12" t="s">
        <v>127</v>
      </c>
      <c r="AF8" s="12" t="s">
        <v>1973</v>
      </c>
      <c r="AG8" s="12" t="s">
        <v>1974</v>
      </c>
    </row>
    <row r="9" customFormat="false" ht="60" hidden="false" customHeight="true" outlineLevel="0" collapsed="false">
      <c r="A9" s="25" t="s">
        <v>1884</v>
      </c>
      <c r="B9" s="16" t="n">
        <v>5</v>
      </c>
      <c r="C9" s="12" t="s">
        <v>297</v>
      </c>
      <c r="D9" s="11" t="s">
        <v>110</v>
      </c>
      <c r="E9" s="12" t="s">
        <v>1975</v>
      </c>
      <c r="F9" s="12" t="s">
        <v>1976</v>
      </c>
      <c r="G9" s="11"/>
      <c r="H9" s="12" t="s">
        <v>544</v>
      </c>
      <c r="I9" s="12" t="s">
        <v>86</v>
      </c>
      <c r="J9" s="26" t="s">
        <v>1887</v>
      </c>
      <c r="K9" s="11" t="s">
        <v>86</v>
      </c>
      <c r="L9" s="11" t="s">
        <v>1888</v>
      </c>
      <c r="M9" s="12" t="s">
        <v>284</v>
      </c>
      <c r="N9" s="12" t="s">
        <v>89</v>
      </c>
      <c r="O9" s="15" t="s">
        <v>1977</v>
      </c>
      <c r="P9" s="11" t="s">
        <v>136</v>
      </c>
      <c r="Q9" s="12" t="s">
        <v>602</v>
      </c>
      <c r="R9" s="12" t="s">
        <v>1978</v>
      </c>
      <c r="S9" s="12" t="s">
        <v>861</v>
      </c>
      <c r="T9" s="11" t="s">
        <v>183</v>
      </c>
      <c r="U9" s="11" t="s">
        <v>261</v>
      </c>
      <c r="V9" s="11" t="s">
        <v>97</v>
      </c>
      <c r="W9" s="12" t="s">
        <v>1979</v>
      </c>
      <c r="X9" s="11" t="s">
        <v>1980</v>
      </c>
      <c r="Y9" s="12" t="s">
        <v>1981</v>
      </c>
      <c r="Z9" s="12" t="s">
        <v>101</v>
      </c>
      <c r="AA9" s="12" t="s">
        <v>1894</v>
      </c>
      <c r="AB9" s="12" t="s">
        <v>1982</v>
      </c>
      <c r="AC9" s="12" t="s">
        <v>1983</v>
      </c>
      <c r="AD9" s="12" t="s">
        <v>1984</v>
      </c>
      <c r="AE9" s="12" t="s">
        <v>106</v>
      </c>
      <c r="AF9" s="12" t="s">
        <v>1985</v>
      </c>
      <c r="AG9" s="12" t="s">
        <v>1986</v>
      </c>
    </row>
    <row r="10" customFormat="false" ht="60" hidden="false" customHeight="true" outlineLevel="0" collapsed="false">
      <c r="A10" s="27" t="s">
        <v>1987</v>
      </c>
      <c r="B10" s="16" t="n">
        <v>5</v>
      </c>
      <c r="C10" s="12" t="s">
        <v>237</v>
      </c>
      <c r="D10" s="11" t="s">
        <v>110</v>
      </c>
      <c r="E10" s="12" t="s">
        <v>419</v>
      </c>
      <c r="F10" s="12" t="s">
        <v>1988</v>
      </c>
      <c r="G10" s="13" t="n">
        <v>46235</v>
      </c>
      <c r="H10" s="12" t="s">
        <v>83</v>
      </c>
      <c r="I10" s="12" t="s">
        <v>1989</v>
      </c>
      <c r="J10" s="14" t="s">
        <v>85</v>
      </c>
      <c r="K10" s="11" t="s">
        <v>86</v>
      </c>
      <c r="L10" s="11" t="s">
        <v>87</v>
      </c>
      <c r="M10" s="12" t="s">
        <v>301</v>
      </c>
      <c r="N10" s="12" t="s">
        <v>89</v>
      </c>
      <c r="O10" s="15" t="s">
        <v>1990</v>
      </c>
      <c r="P10" s="11" t="s">
        <v>1991</v>
      </c>
      <c r="Q10" s="12" t="s">
        <v>1992</v>
      </c>
      <c r="R10" s="12" t="s">
        <v>423</v>
      </c>
      <c r="S10" s="12" t="s">
        <v>1993</v>
      </c>
      <c r="T10" s="11" t="s">
        <v>95</v>
      </c>
      <c r="U10" s="11" t="s">
        <v>246</v>
      </c>
      <c r="V10" s="11" t="s">
        <v>97</v>
      </c>
      <c r="W10" s="12" t="s">
        <v>1994</v>
      </c>
      <c r="X10" s="11" t="s">
        <v>86</v>
      </c>
      <c r="Y10" s="12" t="s">
        <v>1995</v>
      </c>
      <c r="Z10" s="12" t="s">
        <v>101</v>
      </c>
      <c r="AA10" s="12" t="s">
        <v>102</v>
      </c>
      <c r="AB10" s="12" t="s">
        <v>1996</v>
      </c>
      <c r="AC10" s="12" t="s">
        <v>1997</v>
      </c>
      <c r="AD10" s="12" t="s">
        <v>1998</v>
      </c>
      <c r="AE10" s="12" t="s">
        <v>106</v>
      </c>
      <c r="AF10" s="12" t="s">
        <v>1999</v>
      </c>
      <c r="AG10" s="12" t="s">
        <v>2000</v>
      </c>
    </row>
  </sheetData>
  <autoFilter ref="A1:AG10"/>
  <hyperlinks>
    <hyperlink ref="O2" r:id="rId1" display="https://www.jobs.virginia.gov/jobs/adjunct-instructor-information-systems-school-of-business-vcu-main-campus-virginia-united-states"/>
    <hyperlink ref="O3" r:id="rId2" display="https://www.ohiouniversityjobs.com/postings/56719"/>
    <hyperlink ref="O4" r:id="rId3" display="https://aprecruit.berkeley.edu/JPF05340"/>
    <hyperlink ref="O5" r:id="rId4" display="https://careers.pageuppeople.com/873/sa/en-us/job/553828/202627-ay-lecturer-pool-management-information-systems-business-analytics"/>
    <hyperlink ref="O6" r:id="rId5" display="https://tallo.com/talent/job/education/economics-professor/ga/atlanta/professor-of-practice-0238a939"/>
    <hyperlink ref="O7" r:id="rId6" display="https://indiana.peopleadmin.com/postings/34575"/>
    <hyperlink ref="O8" r:id="rId7" display="https://www.higheredjobs.com/faculty/details.cfm?JobCode=179294558"/>
    <hyperlink ref="O9" r:id="rId8" display="https://careers.utrgv.edu/postings/50193"/>
    <hyperlink ref="O10" r:id="rId9" display="https://careers.ua.edu/jobs/renewable-contract-instructor-in-applied-statistics-527547-tuscaloosa-alabama-united-states"/>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48235"/>
    <pageSetUpPr fitToPage="false"/>
  </sheetPr>
  <dimension ref="A1:F6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12"/>
    <col collapsed="false" customWidth="true" hidden="false" outlineLevel="0" max="3" min="3" style="0" width="10"/>
    <col collapsed="false" customWidth="true" hidden="false" outlineLevel="0" max="4" min="4" style="0" width="30"/>
    <col collapsed="false" customWidth="true" hidden="false" outlineLevel="0" max="5" min="5" style="0" width="70"/>
    <col collapsed="false" customWidth="true" hidden="false" outlineLevel="0" max="6" min="6" style="0" width="50"/>
  </cols>
  <sheetData>
    <row r="1" customFormat="false" ht="35.05" hidden="false" customHeight="false" outlineLevel="0" collapsed="false">
      <c r="A1" s="9" t="s">
        <v>2001</v>
      </c>
      <c r="B1" s="9" t="s">
        <v>2002</v>
      </c>
      <c r="C1" s="9" t="s">
        <v>2003</v>
      </c>
      <c r="D1" s="9" t="s">
        <v>2004</v>
      </c>
      <c r="E1" s="9" t="s">
        <v>2005</v>
      </c>
      <c r="F1" s="9" t="s">
        <v>2006</v>
      </c>
    </row>
    <row r="2" customFormat="false" ht="22.35" hidden="false" customHeight="false" outlineLevel="0" collapsed="false">
      <c r="A2" s="12" t="s">
        <v>176</v>
      </c>
      <c r="B2" s="28" t="n">
        <v>46216</v>
      </c>
      <c r="C2" s="12" t="s">
        <v>2007</v>
      </c>
      <c r="D2" s="12" t="s">
        <v>176</v>
      </c>
      <c r="E2" s="12" t="s">
        <v>2008</v>
      </c>
      <c r="F2" s="12" t="s">
        <v>1788</v>
      </c>
    </row>
    <row r="3" customFormat="false" ht="32.8" hidden="false" customHeight="false" outlineLevel="0" collapsed="false">
      <c r="A3" s="12" t="s">
        <v>966</v>
      </c>
      <c r="B3" s="28" t="n">
        <v>46221</v>
      </c>
      <c r="C3" s="12" t="s">
        <v>2007</v>
      </c>
      <c r="D3" s="12" t="s">
        <v>966</v>
      </c>
      <c r="E3" s="12" t="s">
        <v>2009</v>
      </c>
      <c r="F3" s="12" t="s">
        <v>1857</v>
      </c>
    </row>
    <row r="4" customFormat="false" ht="22.35" hidden="false" customHeight="false" outlineLevel="0" collapsed="false">
      <c r="A4" s="12" t="s">
        <v>2010</v>
      </c>
      <c r="B4" s="28" t="n">
        <v>46233</v>
      </c>
      <c r="C4" s="12" t="s">
        <v>2007</v>
      </c>
      <c r="D4" s="12" t="s">
        <v>2010</v>
      </c>
      <c r="E4" s="12" t="s">
        <v>2011</v>
      </c>
      <c r="F4" s="12" t="s">
        <v>1616</v>
      </c>
    </row>
    <row r="5" customFormat="false" ht="15" hidden="false" customHeight="false" outlineLevel="0" collapsed="false">
      <c r="A5" s="12" t="s">
        <v>2012</v>
      </c>
      <c r="B5" s="28" t="n">
        <v>46233</v>
      </c>
      <c r="C5" s="12" t="s">
        <v>2007</v>
      </c>
      <c r="D5" s="12" t="s">
        <v>2012</v>
      </c>
      <c r="E5" s="12" t="s">
        <v>2011</v>
      </c>
      <c r="F5" s="12" t="s">
        <v>1616</v>
      </c>
    </row>
    <row r="6" customFormat="false" ht="15" hidden="false" customHeight="false" outlineLevel="0" collapsed="false">
      <c r="A6" s="12" t="s">
        <v>2013</v>
      </c>
      <c r="B6" s="28" t="n">
        <v>46233</v>
      </c>
      <c r="C6" s="12" t="s">
        <v>2007</v>
      </c>
      <c r="D6" s="12" t="s">
        <v>2013</v>
      </c>
      <c r="E6" s="12" t="s">
        <v>2011</v>
      </c>
      <c r="F6" s="12" t="s">
        <v>1616</v>
      </c>
    </row>
    <row r="7" customFormat="false" ht="15" hidden="false" customHeight="false" outlineLevel="0" collapsed="false">
      <c r="A7" s="12" t="s">
        <v>2014</v>
      </c>
      <c r="B7" s="28" t="n">
        <v>46234</v>
      </c>
      <c r="C7" s="12" t="s">
        <v>2007</v>
      </c>
      <c r="D7" s="12" t="s">
        <v>2014</v>
      </c>
      <c r="E7" s="12" t="s">
        <v>2011</v>
      </c>
      <c r="F7" s="12" t="s">
        <v>1616</v>
      </c>
    </row>
    <row r="8" customFormat="false" ht="43.25" hidden="false" customHeight="false" outlineLevel="0" collapsed="false">
      <c r="A8" s="12" t="s">
        <v>914</v>
      </c>
      <c r="B8" s="28" t="n">
        <v>46234</v>
      </c>
      <c r="C8" s="12" t="s">
        <v>2007</v>
      </c>
      <c r="D8" s="12" t="s">
        <v>914</v>
      </c>
      <c r="E8" s="12" t="s">
        <v>2015</v>
      </c>
      <c r="F8" s="12" t="s">
        <v>1829</v>
      </c>
    </row>
    <row r="9" customFormat="false" ht="15" hidden="false" customHeight="false" outlineLevel="0" collapsed="false">
      <c r="A9" s="12" t="s">
        <v>1873</v>
      </c>
      <c r="B9" s="28" t="n">
        <v>46234</v>
      </c>
      <c r="C9" s="12" t="s">
        <v>2007</v>
      </c>
      <c r="D9" s="12" t="s">
        <v>1873</v>
      </c>
      <c r="E9" s="12" t="s">
        <v>2016</v>
      </c>
      <c r="F9" s="12" t="s">
        <v>1874</v>
      </c>
    </row>
    <row r="10" customFormat="false" ht="22.35" hidden="false" customHeight="false" outlineLevel="0" collapsed="false">
      <c r="A10" s="12" t="s">
        <v>1624</v>
      </c>
      <c r="B10" s="28" t="n">
        <v>46261</v>
      </c>
      <c r="C10" s="12" t="s">
        <v>2007</v>
      </c>
      <c r="D10" s="12" t="s">
        <v>1624</v>
      </c>
      <c r="E10" s="12" t="s">
        <v>2017</v>
      </c>
      <c r="F10" s="12" t="s">
        <v>1625</v>
      </c>
    </row>
    <row r="11" customFormat="false" ht="22.35" hidden="false" customHeight="false" outlineLevel="0" collapsed="false">
      <c r="A11" s="12" t="s">
        <v>1847</v>
      </c>
      <c r="B11" s="28" t="n">
        <v>46263</v>
      </c>
      <c r="C11" s="12" t="s">
        <v>2007</v>
      </c>
      <c r="D11" s="12" t="s">
        <v>1847</v>
      </c>
      <c r="E11" s="12" t="s">
        <v>2018</v>
      </c>
      <c r="F11" s="12" t="s">
        <v>1848</v>
      </c>
    </row>
    <row r="12" customFormat="false" ht="22.35" hidden="false" customHeight="false" outlineLevel="0" collapsed="false">
      <c r="A12" s="12" t="s">
        <v>584</v>
      </c>
      <c r="B12" s="28" t="n">
        <v>46263</v>
      </c>
      <c r="C12" s="12" t="s">
        <v>2007</v>
      </c>
      <c r="D12" s="12" t="s">
        <v>584</v>
      </c>
      <c r="E12" s="12" t="s">
        <v>2019</v>
      </c>
      <c r="F12" s="12" t="s">
        <v>1612</v>
      </c>
    </row>
    <row r="13" customFormat="false" ht="15" hidden="false" customHeight="false" outlineLevel="0" collapsed="false">
      <c r="A13" s="12" t="s">
        <v>2020</v>
      </c>
      <c r="B13" s="28" t="n">
        <v>46263</v>
      </c>
      <c r="C13" s="12" t="s">
        <v>2007</v>
      </c>
      <c r="D13" s="12" t="s">
        <v>2020</v>
      </c>
      <c r="E13" s="12" t="s">
        <v>2011</v>
      </c>
      <c r="F13" s="12" t="s">
        <v>1616</v>
      </c>
    </row>
    <row r="14" customFormat="false" ht="15" hidden="false" customHeight="false" outlineLevel="0" collapsed="false">
      <c r="A14" s="12" t="s">
        <v>2021</v>
      </c>
      <c r="B14" s="28" t="n">
        <v>46263</v>
      </c>
      <c r="C14" s="12" t="s">
        <v>2007</v>
      </c>
      <c r="D14" s="12" t="s">
        <v>2021</v>
      </c>
      <c r="E14" s="12" t="s">
        <v>2011</v>
      </c>
      <c r="F14" s="12" t="s">
        <v>1616</v>
      </c>
    </row>
    <row r="15" customFormat="false" ht="22.35" hidden="false" customHeight="false" outlineLevel="0" collapsed="false">
      <c r="A15" s="12" t="s">
        <v>816</v>
      </c>
      <c r="B15" s="28" t="n">
        <v>46263</v>
      </c>
      <c r="C15" s="12" t="s">
        <v>2007</v>
      </c>
      <c r="D15" s="12" t="s">
        <v>816</v>
      </c>
      <c r="E15" s="12" t="s">
        <v>2022</v>
      </c>
      <c r="F15" s="12" t="s">
        <v>1813</v>
      </c>
    </row>
    <row r="16" customFormat="false" ht="15" hidden="false" customHeight="false" outlineLevel="0" collapsed="false">
      <c r="A16" s="12" t="s">
        <v>569</v>
      </c>
      <c r="B16" s="28" t="n">
        <v>46264</v>
      </c>
      <c r="C16" s="12" t="s">
        <v>2007</v>
      </c>
      <c r="D16" s="12" t="s">
        <v>569</v>
      </c>
      <c r="E16" s="12" t="s">
        <v>2023</v>
      </c>
      <c r="F16" s="12" t="s">
        <v>2024</v>
      </c>
    </row>
    <row r="17" customFormat="false" ht="22.35" hidden="false" customHeight="false" outlineLevel="0" collapsed="false">
      <c r="A17" s="12" t="s">
        <v>2025</v>
      </c>
      <c r="B17" s="28" t="n">
        <v>46266</v>
      </c>
      <c r="C17" s="12" t="s">
        <v>2007</v>
      </c>
      <c r="D17" s="12" t="s">
        <v>2025</v>
      </c>
      <c r="E17" s="12" t="s">
        <v>2011</v>
      </c>
      <c r="F17" s="12" t="s">
        <v>1616</v>
      </c>
    </row>
    <row r="18" customFormat="false" ht="15" hidden="false" customHeight="false" outlineLevel="0" collapsed="false">
      <c r="A18" s="12" t="s">
        <v>2026</v>
      </c>
      <c r="B18" s="28" t="n">
        <v>46268</v>
      </c>
      <c r="C18" s="12" t="s">
        <v>2007</v>
      </c>
      <c r="D18" s="12" t="s">
        <v>2026</v>
      </c>
      <c r="E18" s="12" t="s">
        <v>2011</v>
      </c>
      <c r="F18" s="12" t="s">
        <v>1616</v>
      </c>
    </row>
    <row r="19" customFormat="false" ht="15" hidden="false" customHeight="false" outlineLevel="0" collapsed="false">
      <c r="A19" s="12" t="s">
        <v>2027</v>
      </c>
      <c r="B19" s="28" t="n">
        <v>46268</v>
      </c>
      <c r="C19" s="12" t="s">
        <v>2007</v>
      </c>
      <c r="D19" s="12" t="s">
        <v>2027</v>
      </c>
      <c r="E19" s="12" t="s">
        <v>2011</v>
      </c>
      <c r="F19" s="12" t="s">
        <v>1616</v>
      </c>
    </row>
    <row r="20" customFormat="false" ht="15" hidden="false" customHeight="false" outlineLevel="0" collapsed="false">
      <c r="A20" s="12" t="s">
        <v>2028</v>
      </c>
      <c r="B20" s="28" t="n">
        <v>46272</v>
      </c>
      <c r="C20" s="12" t="s">
        <v>2007</v>
      </c>
      <c r="D20" s="12" t="s">
        <v>2028</v>
      </c>
      <c r="E20" s="12" t="s">
        <v>2011</v>
      </c>
      <c r="F20" s="12" t="s">
        <v>1616</v>
      </c>
    </row>
    <row r="21" customFormat="false" ht="15" hidden="false" customHeight="false" outlineLevel="0" collapsed="false">
      <c r="A21" s="12" t="s">
        <v>2029</v>
      </c>
      <c r="B21" s="28" t="n">
        <v>46280</v>
      </c>
      <c r="C21" s="12" t="s">
        <v>2007</v>
      </c>
      <c r="D21" s="12" t="s">
        <v>1098</v>
      </c>
      <c r="E21" s="12" t="s">
        <v>2030</v>
      </c>
      <c r="F21" s="12" t="s">
        <v>2024</v>
      </c>
    </row>
    <row r="22" customFormat="false" ht="15" hidden="false" customHeight="false" outlineLevel="0" collapsed="false">
      <c r="A22" s="12" t="s">
        <v>2031</v>
      </c>
      <c r="B22" s="28" t="n">
        <v>46280</v>
      </c>
      <c r="C22" s="12" t="s">
        <v>2007</v>
      </c>
      <c r="D22" s="12" t="s">
        <v>2031</v>
      </c>
      <c r="E22" s="12" t="s">
        <v>2011</v>
      </c>
      <c r="F22" s="12" t="s">
        <v>1616</v>
      </c>
    </row>
    <row r="23" customFormat="false" ht="22.35" hidden="false" customHeight="false" outlineLevel="0" collapsed="false">
      <c r="A23" s="12" t="s">
        <v>1633</v>
      </c>
      <c r="B23" s="28" t="n">
        <v>46280</v>
      </c>
      <c r="C23" s="12" t="s">
        <v>2007</v>
      </c>
      <c r="D23" s="12" t="s">
        <v>1633</v>
      </c>
      <c r="E23" s="12" t="s">
        <v>2032</v>
      </c>
      <c r="F23" s="12" t="s">
        <v>1634</v>
      </c>
    </row>
    <row r="24" customFormat="false" ht="43.25" hidden="false" customHeight="false" outlineLevel="0" collapsed="false">
      <c r="A24" s="12" t="s">
        <v>1112</v>
      </c>
      <c r="B24" s="28" t="n">
        <v>46280</v>
      </c>
      <c r="C24" s="12" t="s">
        <v>2007</v>
      </c>
      <c r="D24" s="12" t="s">
        <v>1112</v>
      </c>
      <c r="E24" s="12" t="s">
        <v>2033</v>
      </c>
      <c r="F24" s="12" t="s">
        <v>1796</v>
      </c>
    </row>
    <row r="25" customFormat="false" ht="53.7" hidden="false" customHeight="false" outlineLevel="0" collapsed="false">
      <c r="A25" s="12" t="s">
        <v>2034</v>
      </c>
      <c r="B25" s="28" t="n">
        <v>46290</v>
      </c>
      <c r="C25" s="12" t="s">
        <v>2007</v>
      </c>
      <c r="D25" s="12" t="s">
        <v>1777</v>
      </c>
      <c r="E25" s="12" t="s">
        <v>2035</v>
      </c>
      <c r="F25" s="12" t="s">
        <v>1778</v>
      </c>
    </row>
    <row r="26" customFormat="false" ht="15" hidden="false" customHeight="false" outlineLevel="0" collapsed="false">
      <c r="A26" s="12" t="s">
        <v>2036</v>
      </c>
      <c r="B26" s="28" t="n">
        <v>46290</v>
      </c>
      <c r="C26" s="12" t="s">
        <v>2007</v>
      </c>
      <c r="D26" s="12" t="s">
        <v>2036</v>
      </c>
      <c r="E26" s="12" t="s">
        <v>2011</v>
      </c>
      <c r="F26" s="12" t="s">
        <v>1616</v>
      </c>
    </row>
    <row r="27" customFormat="false" ht="22.35" hidden="false" customHeight="false" outlineLevel="0" collapsed="false">
      <c r="A27" s="12" t="s">
        <v>1643</v>
      </c>
      <c r="B27" s="28" t="n">
        <v>46293</v>
      </c>
      <c r="C27" s="12" t="s">
        <v>2007</v>
      </c>
      <c r="D27" s="12" t="s">
        <v>1643</v>
      </c>
      <c r="E27" s="12" t="s">
        <v>2037</v>
      </c>
      <c r="F27" s="12" t="s">
        <v>1644</v>
      </c>
    </row>
    <row r="28" customFormat="false" ht="32.8" hidden="false" customHeight="false" outlineLevel="0" collapsed="false">
      <c r="A28" s="12" t="s">
        <v>2038</v>
      </c>
      <c r="B28" s="28" t="n">
        <v>46293</v>
      </c>
      <c r="C28" s="12" t="s">
        <v>2007</v>
      </c>
      <c r="D28" s="12" t="s">
        <v>222</v>
      </c>
      <c r="E28" s="12" t="s">
        <v>2039</v>
      </c>
      <c r="F28" s="12" t="s">
        <v>1655</v>
      </c>
    </row>
    <row r="29" customFormat="false" ht="15" hidden="false" customHeight="false" outlineLevel="0" collapsed="false">
      <c r="A29" s="12" t="s">
        <v>2040</v>
      </c>
      <c r="B29" s="28" t="n">
        <v>46293</v>
      </c>
      <c r="C29" s="12" t="s">
        <v>2007</v>
      </c>
      <c r="D29" s="12" t="s">
        <v>2040</v>
      </c>
      <c r="E29" s="12" t="s">
        <v>2011</v>
      </c>
      <c r="F29" s="12" t="s">
        <v>1616</v>
      </c>
    </row>
    <row r="30" customFormat="false" ht="22.35" hidden="false" customHeight="false" outlineLevel="0" collapsed="false">
      <c r="A30" s="12" t="s">
        <v>1863</v>
      </c>
      <c r="B30" s="28" t="n">
        <v>46293</v>
      </c>
      <c r="C30" s="12" t="s">
        <v>2007</v>
      </c>
      <c r="D30" s="12" t="s">
        <v>1863</v>
      </c>
      <c r="E30" s="12" t="s">
        <v>2041</v>
      </c>
      <c r="F30" s="12" t="s">
        <v>1864</v>
      </c>
    </row>
    <row r="31" customFormat="false" ht="22.35" hidden="false" customHeight="false" outlineLevel="0" collapsed="false">
      <c r="A31" s="12" t="s">
        <v>1836</v>
      </c>
      <c r="B31" s="28" t="n">
        <v>46293</v>
      </c>
      <c r="C31" s="12" t="s">
        <v>2007</v>
      </c>
      <c r="D31" s="12" t="s">
        <v>1836</v>
      </c>
      <c r="E31" s="12" t="s">
        <v>2042</v>
      </c>
      <c r="F31" s="12" t="s">
        <v>1837</v>
      </c>
    </row>
    <row r="32" customFormat="false" ht="22.35" hidden="false" customHeight="false" outlineLevel="0" collapsed="false">
      <c r="A32" s="12" t="s">
        <v>1821</v>
      </c>
      <c r="B32" s="28" t="n">
        <v>46294</v>
      </c>
      <c r="C32" s="12" t="s">
        <v>2007</v>
      </c>
      <c r="D32" s="12" t="s">
        <v>1821</v>
      </c>
      <c r="E32" s="12" t="s">
        <v>2043</v>
      </c>
      <c r="F32" s="12" t="s">
        <v>1822</v>
      </c>
    </row>
    <row r="33" customFormat="false" ht="15" hidden="false" customHeight="false" outlineLevel="0" collapsed="false">
      <c r="A33" s="12" t="s">
        <v>2044</v>
      </c>
      <c r="B33" s="28" t="n">
        <v>46294</v>
      </c>
      <c r="C33" s="12" t="s">
        <v>2007</v>
      </c>
      <c r="D33" s="12" t="s">
        <v>2044</v>
      </c>
      <c r="E33" s="12" t="s">
        <v>2011</v>
      </c>
      <c r="F33" s="12" t="s">
        <v>1616</v>
      </c>
    </row>
    <row r="34" customFormat="false" ht="15" hidden="false" customHeight="false" outlineLevel="0" collapsed="false">
      <c r="A34" s="12" t="s">
        <v>2045</v>
      </c>
      <c r="B34" s="28" t="n">
        <v>46295</v>
      </c>
      <c r="C34" s="12" t="s">
        <v>2007</v>
      </c>
      <c r="D34" s="12" t="s">
        <v>2046</v>
      </c>
      <c r="E34" s="12" t="s">
        <v>2011</v>
      </c>
      <c r="F34" s="12" t="s">
        <v>1616</v>
      </c>
    </row>
    <row r="35" customFormat="false" ht="22.35" hidden="false" customHeight="false" outlineLevel="0" collapsed="false">
      <c r="A35" s="12" t="s">
        <v>2047</v>
      </c>
      <c r="B35" s="28" t="n">
        <v>46295</v>
      </c>
      <c r="C35" s="12" t="s">
        <v>2007</v>
      </c>
      <c r="D35" s="12" t="s">
        <v>2047</v>
      </c>
      <c r="E35" s="12" t="s">
        <v>2011</v>
      </c>
      <c r="F35" s="12" t="s">
        <v>1616</v>
      </c>
    </row>
    <row r="36" customFormat="false" ht="22.35" hidden="false" customHeight="false" outlineLevel="0" collapsed="false">
      <c r="A36" s="12" t="s">
        <v>2048</v>
      </c>
      <c r="B36" s="28" t="n">
        <v>46295</v>
      </c>
      <c r="C36" s="12" t="s">
        <v>2007</v>
      </c>
      <c r="D36" s="12" t="s">
        <v>1668</v>
      </c>
      <c r="E36" s="12" t="s">
        <v>2049</v>
      </c>
      <c r="F36" s="12" t="s">
        <v>1669</v>
      </c>
    </row>
    <row r="37" customFormat="false" ht="43.25" hidden="false" customHeight="false" outlineLevel="0" collapsed="false">
      <c r="A37" s="12" t="s">
        <v>111</v>
      </c>
      <c r="B37" s="28" t="n">
        <v>46295</v>
      </c>
      <c r="C37" s="12" t="s">
        <v>2007</v>
      </c>
      <c r="D37" s="12" t="s">
        <v>111</v>
      </c>
      <c r="E37" s="12" t="s">
        <v>2050</v>
      </c>
      <c r="F37" s="12" t="s">
        <v>1743</v>
      </c>
    </row>
    <row r="38" customFormat="false" ht="43.25" hidden="false" customHeight="false" outlineLevel="0" collapsed="false">
      <c r="A38" s="12" t="s">
        <v>238</v>
      </c>
      <c r="B38" s="28" t="n">
        <v>46295</v>
      </c>
      <c r="C38" s="12" t="s">
        <v>2007</v>
      </c>
      <c r="D38" s="12" t="s">
        <v>238</v>
      </c>
      <c r="E38" s="12" t="s">
        <v>2051</v>
      </c>
      <c r="F38" s="12" t="s">
        <v>1662</v>
      </c>
    </row>
    <row r="39" customFormat="false" ht="22.35" hidden="false" customHeight="false" outlineLevel="0" collapsed="false">
      <c r="A39" s="12" t="s">
        <v>1760</v>
      </c>
      <c r="B39" s="28" t="n">
        <v>46295</v>
      </c>
      <c r="C39" s="12" t="s">
        <v>2007</v>
      </c>
      <c r="D39" s="12" t="s">
        <v>1760</v>
      </c>
      <c r="E39" s="12" t="s">
        <v>2052</v>
      </c>
      <c r="F39" s="12" t="s">
        <v>1761</v>
      </c>
    </row>
    <row r="40" customFormat="false" ht="15" hidden="false" customHeight="false" outlineLevel="0" collapsed="false">
      <c r="A40" s="12" t="s">
        <v>1803</v>
      </c>
      <c r="B40" s="28" t="n">
        <v>46295</v>
      </c>
      <c r="C40" s="12" t="s">
        <v>2007</v>
      </c>
      <c r="D40" s="12" t="s">
        <v>1803</v>
      </c>
      <c r="E40" s="12" t="s">
        <v>2053</v>
      </c>
      <c r="F40" s="12" t="s">
        <v>1804</v>
      </c>
    </row>
    <row r="41" customFormat="false" ht="22.35" hidden="false" customHeight="false" outlineLevel="0" collapsed="false">
      <c r="A41" s="12" t="s">
        <v>2054</v>
      </c>
      <c r="B41" s="28" t="n">
        <v>46296</v>
      </c>
      <c r="C41" s="12" t="s">
        <v>2007</v>
      </c>
      <c r="D41" s="12" t="s">
        <v>2054</v>
      </c>
      <c r="E41" s="12" t="s">
        <v>2011</v>
      </c>
      <c r="F41" s="12" t="s">
        <v>1616</v>
      </c>
    </row>
    <row r="42" customFormat="false" ht="15" hidden="false" customHeight="false" outlineLevel="0" collapsed="false">
      <c r="A42" s="12" t="s">
        <v>2055</v>
      </c>
      <c r="B42" s="28" t="n">
        <v>46296</v>
      </c>
      <c r="C42" s="12" t="s">
        <v>2007</v>
      </c>
      <c r="D42" s="12" t="s">
        <v>2055</v>
      </c>
      <c r="E42" s="12" t="s">
        <v>2011</v>
      </c>
      <c r="F42" s="12" t="s">
        <v>1616</v>
      </c>
    </row>
    <row r="43" customFormat="false" ht="22.35" hidden="false" customHeight="false" outlineLevel="0" collapsed="false">
      <c r="A43" s="12" t="s">
        <v>1019</v>
      </c>
      <c r="B43" s="28" t="n">
        <v>46296</v>
      </c>
      <c r="C43" s="12" t="s">
        <v>2007</v>
      </c>
      <c r="D43" s="12" t="s">
        <v>1019</v>
      </c>
      <c r="E43" s="12" t="s">
        <v>2056</v>
      </c>
      <c r="F43" s="12" t="s">
        <v>1736</v>
      </c>
    </row>
    <row r="44" customFormat="false" ht="22.35" hidden="false" customHeight="false" outlineLevel="0" collapsed="false">
      <c r="A44" s="12" t="s">
        <v>2057</v>
      </c>
      <c r="B44" s="28" t="n">
        <v>46296</v>
      </c>
      <c r="C44" s="12" t="s">
        <v>2007</v>
      </c>
      <c r="D44" s="12" t="s">
        <v>2057</v>
      </c>
      <c r="E44" s="12" t="s">
        <v>2011</v>
      </c>
      <c r="F44" s="12" t="s">
        <v>1616</v>
      </c>
    </row>
    <row r="45" customFormat="false" ht="22.35" hidden="false" customHeight="false" outlineLevel="0" collapsed="false">
      <c r="A45" s="12" t="s">
        <v>1688</v>
      </c>
      <c r="B45" s="28" t="n">
        <v>46297</v>
      </c>
      <c r="C45" s="12" t="s">
        <v>2007</v>
      </c>
      <c r="D45" s="12" t="s">
        <v>1688</v>
      </c>
      <c r="E45" s="12" t="s">
        <v>2058</v>
      </c>
      <c r="F45" s="12" t="s">
        <v>1689</v>
      </c>
    </row>
    <row r="46" customFormat="false" ht="22.35" hidden="false" customHeight="false" outlineLevel="0" collapsed="false">
      <c r="A46" s="12" t="s">
        <v>1678</v>
      </c>
      <c r="B46" s="28" t="n">
        <v>46298</v>
      </c>
      <c r="C46" s="12" t="s">
        <v>2007</v>
      </c>
      <c r="D46" s="12" t="s">
        <v>1678</v>
      </c>
      <c r="E46" s="12" t="s">
        <v>2059</v>
      </c>
      <c r="F46" s="12" t="s">
        <v>1679</v>
      </c>
    </row>
    <row r="47" customFormat="false" ht="32.8" hidden="false" customHeight="false" outlineLevel="0" collapsed="false">
      <c r="A47" s="12" t="s">
        <v>2060</v>
      </c>
      <c r="B47" s="28" t="n">
        <v>46299</v>
      </c>
      <c r="C47" s="12" t="s">
        <v>2007</v>
      </c>
      <c r="D47" s="12" t="s">
        <v>1750</v>
      </c>
      <c r="E47" s="12" t="s">
        <v>2061</v>
      </c>
      <c r="F47" s="12" t="s">
        <v>1751</v>
      </c>
    </row>
    <row r="48" customFormat="false" ht="22.35" hidden="false" customHeight="false" outlineLevel="0" collapsed="false">
      <c r="A48" s="12" t="s">
        <v>2062</v>
      </c>
      <c r="B48" s="28" t="n">
        <v>46299</v>
      </c>
      <c r="C48" s="12" t="s">
        <v>2007</v>
      </c>
      <c r="D48" s="12" t="s">
        <v>2062</v>
      </c>
      <c r="E48" s="12" t="s">
        <v>2011</v>
      </c>
      <c r="F48" s="12" t="s">
        <v>1616</v>
      </c>
    </row>
    <row r="49" customFormat="false" ht="15" hidden="false" customHeight="false" outlineLevel="0" collapsed="false">
      <c r="A49" s="12" t="s">
        <v>2063</v>
      </c>
      <c r="B49" s="28" t="n">
        <v>46299</v>
      </c>
      <c r="C49" s="12" t="s">
        <v>2007</v>
      </c>
      <c r="D49" s="12" t="s">
        <v>2063</v>
      </c>
      <c r="E49" s="12" t="s">
        <v>2011</v>
      </c>
      <c r="F49" s="12" t="s">
        <v>1616</v>
      </c>
    </row>
    <row r="50" customFormat="false" ht="15" hidden="false" customHeight="false" outlineLevel="0" collapsed="false">
      <c r="A50" s="12" t="s">
        <v>2064</v>
      </c>
      <c r="B50" s="28" t="n">
        <v>46299</v>
      </c>
      <c r="C50" s="12" t="s">
        <v>2007</v>
      </c>
      <c r="D50" s="12" t="s">
        <v>2064</v>
      </c>
      <c r="E50" s="12" t="s">
        <v>2011</v>
      </c>
      <c r="F50" s="12" t="s">
        <v>1616</v>
      </c>
    </row>
    <row r="51" customFormat="false" ht="43.25" hidden="false" customHeight="false" outlineLevel="0" collapsed="false">
      <c r="A51" s="12" t="s">
        <v>1471</v>
      </c>
      <c r="B51" s="28" t="n">
        <v>46303</v>
      </c>
      <c r="C51" s="12" t="s">
        <v>2007</v>
      </c>
      <c r="D51" s="12" t="s">
        <v>1471</v>
      </c>
      <c r="E51" s="12" t="s">
        <v>2065</v>
      </c>
      <c r="F51" s="12" t="s">
        <v>1771</v>
      </c>
    </row>
    <row r="52" customFormat="false" ht="15" hidden="false" customHeight="false" outlineLevel="0" collapsed="false">
      <c r="A52" s="12" t="s">
        <v>2066</v>
      </c>
      <c r="B52" s="28" t="n">
        <v>46304</v>
      </c>
      <c r="C52" s="12" t="s">
        <v>2007</v>
      </c>
      <c r="D52" s="12" t="s">
        <v>1698</v>
      </c>
      <c r="E52" s="12" t="s">
        <v>2067</v>
      </c>
      <c r="F52" s="12" t="s">
        <v>1699</v>
      </c>
    </row>
    <row r="53" customFormat="false" ht="15" hidden="false" customHeight="false" outlineLevel="0" collapsed="false">
      <c r="A53" s="12" t="s">
        <v>2068</v>
      </c>
      <c r="B53" s="28" t="n">
        <v>46304</v>
      </c>
      <c r="C53" s="12" t="s">
        <v>2007</v>
      </c>
      <c r="D53" s="12" t="s">
        <v>2068</v>
      </c>
      <c r="E53" s="12" t="s">
        <v>2011</v>
      </c>
      <c r="F53" s="12" t="s">
        <v>1616</v>
      </c>
    </row>
    <row r="54" customFormat="false" ht="22.35" hidden="false" customHeight="false" outlineLevel="0" collapsed="false">
      <c r="A54" s="12" t="s">
        <v>2069</v>
      </c>
      <c r="B54" s="28" t="n">
        <v>46304</v>
      </c>
      <c r="C54" s="12" t="s">
        <v>2007</v>
      </c>
      <c r="D54" s="12" t="s">
        <v>1709</v>
      </c>
      <c r="E54" s="12" t="s">
        <v>2070</v>
      </c>
      <c r="F54" s="12" t="s">
        <v>1710</v>
      </c>
    </row>
    <row r="55" customFormat="false" ht="15" hidden="false" customHeight="false" outlineLevel="0" collapsed="false">
      <c r="A55" s="12" t="s">
        <v>2071</v>
      </c>
      <c r="B55" s="28" t="n">
        <v>46305</v>
      </c>
      <c r="C55" s="12" t="s">
        <v>2007</v>
      </c>
      <c r="D55" s="12" t="s">
        <v>2071</v>
      </c>
      <c r="E55" s="12" t="s">
        <v>2011</v>
      </c>
      <c r="F55" s="12" t="s">
        <v>1616</v>
      </c>
    </row>
    <row r="56" customFormat="false" ht="15" hidden="false" customHeight="false" outlineLevel="0" collapsed="false">
      <c r="A56" s="12" t="s">
        <v>2072</v>
      </c>
      <c r="B56" s="28" t="n">
        <v>46306</v>
      </c>
      <c r="C56" s="12" t="s">
        <v>2007</v>
      </c>
      <c r="D56" s="12" t="s">
        <v>2072</v>
      </c>
      <c r="E56" s="12" t="s">
        <v>2011</v>
      </c>
      <c r="F56" s="12" t="s">
        <v>1616</v>
      </c>
    </row>
    <row r="57" customFormat="false" ht="15" hidden="false" customHeight="false" outlineLevel="0" collapsed="false">
      <c r="A57" s="12" t="s">
        <v>1727</v>
      </c>
      <c r="B57" s="28" t="n">
        <v>46306</v>
      </c>
      <c r="C57" s="12" t="s">
        <v>2007</v>
      </c>
      <c r="D57" s="12" t="s">
        <v>1727</v>
      </c>
      <c r="E57" s="12" t="s">
        <v>2073</v>
      </c>
      <c r="F57" s="12" t="s">
        <v>1728</v>
      </c>
    </row>
    <row r="58" customFormat="false" ht="15" hidden="false" customHeight="false" outlineLevel="0" collapsed="false">
      <c r="A58" s="12" t="s">
        <v>2074</v>
      </c>
      <c r="B58" s="28" t="n">
        <v>46306</v>
      </c>
      <c r="C58" s="12" t="s">
        <v>2007</v>
      </c>
      <c r="D58" s="12" t="s">
        <v>2074</v>
      </c>
      <c r="E58" s="12" t="s">
        <v>2011</v>
      </c>
      <c r="F58" s="12" t="s">
        <v>1616</v>
      </c>
    </row>
    <row r="59" customFormat="false" ht="15" hidden="false" customHeight="false" outlineLevel="0" collapsed="false">
      <c r="A59" s="12" t="s">
        <v>2075</v>
      </c>
      <c r="B59" s="28" t="n">
        <v>46306</v>
      </c>
      <c r="C59" s="12" t="s">
        <v>2007</v>
      </c>
      <c r="D59" s="12" t="s">
        <v>2075</v>
      </c>
      <c r="E59" s="12" t="s">
        <v>2011</v>
      </c>
      <c r="F59" s="12" t="s">
        <v>1616</v>
      </c>
    </row>
    <row r="60" customFormat="false" ht="15" hidden="false" customHeight="false" outlineLevel="0" collapsed="false">
      <c r="A60" s="12" t="s">
        <v>2076</v>
      </c>
      <c r="B60" s="28" t="n">
        <v>46306</v>
      </c>
      <c r="C60" s="12" t="s">
        <v>2007</v>
      </c>
      <c r="D60" s="12" t="s">
        <v>2076</v>
      </c>
      <c r="E60" s="12" t="s">
        <v>2011</v>
      </c>
      <c r="F60" s="12" t="s">
        <v>1616</v>
      </c>
    </row>
    <row r="61" customFormat="false" ht="22.35" hidden="false" customHeight="false" outlineLevel="0" collapsed="false">
      <c r="A61" s="12" t="s">
        <v>1717</v>
      </c>
      <c r="B61" s="28" t="n">
        <v>46306</v>
      </c>
      <c r="C61" s="12" t="s">
        <v>2007</v>
      </c>
      <c r="D61" s="12" t="s">
        <v>1717</v>
      </c>
      <c r="E61" s="12" t="s">
        <v>2077</v>
      </c>
      <c r="F61" s="12" t="s">
        <v>1718</v>
      </c>
    </row>
  </sheetData>
  <autoFilter ref="A1:F6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2026-10-15T04:51:35Z</dcterms:created>
  <dc:creator>openpyxl</dc:creator>
  <dc:description/>
  <dc:language>en-US</dc:language>
  <cp:lastModifiedBy/>
  <dcterms:modified xsi:type="dcterms:W3CDTF">2026-10-15T04:51:35Z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